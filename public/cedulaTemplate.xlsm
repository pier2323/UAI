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media/image5.png" ContentType="image/png"/>
  <Override PartName="/xl/media/image6.png" ContentType="image/png"/>
  <Override PartName="/xl/media/image7.png" ContentType="image/png"/>
  <Override PartName="/xl/comments2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ATRIBUTOS" sheetId="1" state="visible" r:id="rId3"/>
    <sheet name="CEDULA" sheetId="2" state="visible" r:id="rId4"/>
    <sheet name="HALLAZGOS" sheetId="3" state="visible" r:id="rId5"/>
    <sheet name="informe de debilidades" sheetId="4" state="visible" r:id="rId6"/>
    <sheet name="desglose de hallazgos" sheetId="5" state="visible" r:id="rId7"/>
  </sheets>
  <definedNames>
    <definedName function="false" hidden="false" localSheetId="0" name="_xlnm.Print_Area" vbProcedure="false">ATRIBUTOS!$A$1:$A$70</definedName>
    <definedName function="false" hidden="false" localSheetId="1" name="_xlnm.Print_Area" vbProcedure="false">CEDULA!$A$1:$AE$21</definedName>
    <definedName function="false" hidden="false" localSheetId="4" name="_xlnm.Print_Area" vbProcedure="false">'desglose de hallazgos'!$B$1:$E$16</definedName>
    <definedName function="false" hidden="false" localSheetId="4" name="_xlnm.Print_Titles" vbProcedure="false">'desglose de hallazgos'!$1:$5</definedName>
    <definedName function="false" hidden="false" localSheetId="2" name="_xlnm.Print_Area" vbProcedure="false">HALLAZGOS!$B$1:$H$45</definedName>
    <definedName function="false" hidden="false" localSheetId="2" name="_xlnm.Print_Titles" vbProcedure="false">HALLAZGOS!$1:$8</definedName>
    <definedName function="false" hidden="false" name="ELMENU" vbProcedure="false">"1 Imagen,17 Rectángulo,Rectangle: Single Corner Snipped 5,Rectangle: Single Corner Snipped 5"</definedName>
    <definedName function="false" hidden="false" localSheetId="3" name="SegundaLista" vbProcedure="false">OFFSET(#REF!,MATCH(#REF!,#REF!,0)-1,1,COUNTIF(#REF!,#REF!),1)</definedName>
    <definedName function="false" hidden="false" localSheetId="3" name="_xlnm.Print_Area" vbProcedure="false">'informe de debilidades'!#ref!</definedName>
    <definedName function="false" hidden="false" localSheetId="3" name="_xlnm.Print_Titles" vbProcedure="false">'informe de debilidades'!#ref!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Autoría desconocida</author>
  </authors>
  <commentList>
    <comment ref="D14" authorId="0">
      <text>
        <r>
          <rPr>
            <sz val="10"/>
            <rFont val="Arial"/>
            <family val="2"/>
          </rPr>
          <t xml:space="preserve">El acta se entrego  en un plazo no superior de tres (3) días habiles, al funcionario entrante o al funcionario que designe la maxima autoridad </t>
        </r>
      </text>
    </comment>
    <comment ref="E14" authorId="0">
      <text>
        <r>
          <rPr>
            <sz val="10"/>
            <rFont val="Arial"/>
            <family val="2"/>
          </rPr>
          <t xml:space="preserve">el acta esta debidamente certificada por el funcionario autorizado
</t>
        </r>
      </text>
    </comment>
    <comment ref="F14" authorId="0">
      <text>
        <r>
          <rPr>
            <sz val="10"/>
            <rFont val="Arial"/>
            <family val="2"/>
          </rPr>
          <t xml:space="preserve">El funcionario saliente elaboro, presento y suscribio la respectiva acta de entrega
</t>
        </r>
      </text>
    </comment>
    <comment ref="G14" authorId="0">
      <text>
        <r>
          <rPr>
            <sz val="10"/>
            <rFont val="Arial"/>
            <family val="2"/>
          </rPr>
          <t xml:space="preserve">En caso de no recibir acta de entrega, el funcionario entrante levanto acta detallada indicando el estado en que se encuentran los asuntos, bienes y recursos asignados. Con dos testigos y el auditor interno del organismo</t>
        </r>
      </text>
    </comment>
    <comment ref="H14" authorId="0">
      <text>
        <r>
          <rPr>
            <sz val="10"/>
            <rFont val="Arial"/>
            <family val="2"/>
          </rPr>
          <t xml:space="preserve">Lugar de la suscripción del acta</t>
        </r>
      </text>
    </comment>
    <comment ref="I14" authorId="0">
      <text>
        <r>
          <rPr>
            <sz val="10"/>
            <rFont val="Arial"/>
            <family val="2"/>
          </rPr>
          <t xml:space="preserve">Fecha de la suscripción del Acta</t>
        </r>
      </text>
    </comment>
    <comment ref="J14" authorId="0">
      <text>
        <r>
          <rPr>
            <sz val="10"/>
            <rFont val="Arial"/>
            <family val="2"/>
          </rPr>
          <t xml:space="preserve">Identificación del órgano, entidad, oficina o dependencia que se entrega</t>
        </r>
      </text>
    </comment>
    <comment ref="K14" authorId="0">
      <text>
        <r>
          <rPr>
            <sz val="10"/>
            <rFont val="Arial"/>
            <family val="2"/>
          </rPr>
          <t xml:space="preserve">Identificación de quien entrega</t>
        </r>
      </text>
    </comment>
    <comment ref="L14" authorId="0">
      <text>
        <r>
          <rPr>
            <sz val="10"/>
            <rFont val="Arial"/>
            <family val="2"/>
          </rPr>
          <t xml:space="preserve">Identificación de quien recibe</t>
        </r>
      </text>
    </comment>
    <comment ref="M14" authorId="0">
      <text>
        <r>
          <rPr>
            <sz val="10"/>
            <rFont val="Arial"/>
            <family val="2"/>
          </rPr>
          <t xml:space="preserve">Motivo de la entrega y fundamentación legal</t>
        </r>
      </text>
    </comment>
    <comment ref="N14" authorId="0">
      <text>
        <r>
          <rPr>
            <sz val="10"/>
            <rFont val="Arial"/>
            <family val="2"/>
          </rPr>
          <t xml:space="preserve">mención expresa de que los anexos forman parte integrante del acta
</t>
        </r>
      </text>
    </comment>
    <comment ref="O14" authorId="0">
      <text>
        <r>
          <rPr>
            <sz val="10"/>
            <rFont val="Arial"/>
            <family val="2"/>
          </rPr>
          <t xml:space="preserve">Suscripción del acta de quien entrega</t>
        </r>
      </text>
    </comment>
    <comment ref="P14" authorId="0">
      <text>
        <r>
          <rPr>
            <sz val="10"/>
            <rFont val="Arial"/>
            <family val="2"/>
          </rPr>
          <t xml:space="preserve">Suscripción del acta de quien recibe</t>
        </r>
      </text>
    </comment>
    <comment ref="R14" authorId="0">
      <text>
        <r>
          <rPr>
            <sz val="10"/>
            <rFont val="Arial"/>
            <family val="2"/>
          </rPr>
          <t xml:space="preserve">Estado de las cuentas que refleje la situación presupuestaria, financiera y patrimonial, cuando sea aplicable.</t>
        </r>
      </text>
    </comment>
    <comment ref="S14" authorId="0">
      <text>
        <r>
          <rPr>
            <sz val="10"/>
            <rFont val="Arial"/>
            <family val="2"/>
          </rPr>
          <t xml:space="preserve">Mención del número de cargos existentes, Mención de los empleados u obreros.  del número de jubilados y pensionados</t>
        </r>
      </text>
    </comment>
    <comment ref="T14" authorId="0">
      <text>
        <r>
          <rPr>
            <sz val="10"/>
            <rFont val="Arial"/>
            <family val="2"/>
          </rPr>
          <t xml:space="preserve">Inventario de los bienes muebles e inmuebles</t>
        </r>
      </text>
    </comment>
    <comment ref="U14" authorId="0">
      <text>
        <r>
          <rPr>
            <sz val="10"/>
            <rFont val="Arial"/>
            <family val="2"/>
          </rPr>
          <t xml:space="preserve">Situación de la ejecución del plan operativo de conformidad con los objetivos propuestos y las metas fijadas en el presupuesto correspondiente.</t>
        </r>
      </text>
    </comment>
    <comment ref="V14" authorId="0">
      <text>
        <r>
          <rPr>
            <sz val="10"/>
            <rFont val="Arial"/>
            <family val="2"/>
          </rPr>
          <t xml:space="preserve">Indice general del archivo</t>
        </r>
      </text>
    </comment>
    <comment ref="W14" authorId="0">
      <text>
        <r>
          <rPr>
            <sz val="10"/>
            <rFont val="Arial"/>
            <family val="2"/>
          </rPr>
          <t xml:space="preserve">Datos e información, con fecha de corte al momento del cese en el ejercicio del empleo, cargo o función pública del funcionario o empleado que entrega.</t>
        </r>
      </text>
    </comment>
    <comment ref="X14" authorId="0">
      <text>
        <r>
          <rPr>
            <sz val="10"/>
            <rFont val="Arial"/>
            <family val="2"/>
          </rPr>
          <t xml:space="preserve">El acta de entrega y sus anexos se elaborarán en original y tres (3) copias certificadas</t>
        </r>
      </text>
    </comment>
    <comment ref="Y14" authorId="0">
      <text>
        <r>
          <rPr>
            <sz val="10"/>
            <rFont val="Arial"/>
            <family val="2"/>
          </rPr>
          <t xml:space="preserve">El acta de entrega se recibio en la Unidad de Auditoria Interna dentro de los cinco (5) dias habiles siguientes a la fecha de suscripción de la misma.</t>
        </r>
      </text>
    </comment>
    <comment ref="AA14" authorId="0">
      <text>
        <r>
          <rPr>
            <sz val="10"/>
            <rFont val="Arial"/>
            <family val="2"/>
          </rPr>
          <t xml:space="preserve">Monto de los fondos  y bienes asignados Presupuestariamente 
a la respectiva unidad administradora.</t>
        </r>
      </text>
    </comment>
    <comment ref="AB14" authorId="0">
      <text>
        <r>
          <rPr>
            <sz val="10"/>
            <rFont val="Arial"/>
            <family val="2"/>
          </rPr>
          <t xml:space="preserve">Saldo en efectivo de dichos fondos a la fecha de entrega de la gestión.
</t>
        </r>
      </text>
    </comment>
    <comment ref="AC14" authorId="0">
      <text>
        <r>
          <rPr>
            <sz val="10"/>
            <rFont val="Arial"/>
            <family val="2"/>
          </rPr>
          <t xml:space="preserve">Estados bancarios actualizados y conciliados.</t>
        </r>
      </text>
    </comment>
    <comment ref="AD14" authorId="0">
      <text>
        <r>
          <rPr>
            <sz val="10"/>
            <rFont val="Arial"/>
            <family val="2"/>
          </rPr>
          <t xml:space="preserve">Lista de comprobantes de gastos.</t>
        </r>
      </text>
    </comment>
    <comment ref="AE14" authorId="0">
      <text>
        <r>
          <rPr>
            <sz val="10"/>
            <rFont val="Arial"/>
            <family val="2"/>
          </rPr>
          <t xml:space="preserve">Cheques emitidos pendientes de cobro.</t>
        </r>
      </text>
    </comment>
  </commentList>
</comments>
</file>

<file path=xl/sharedStrings.xml><?xml version="1.0" encoding="utf-8"?>
<sst xmlns="http://schemas.openxmlformats.org/spreadsheetml/2006/main" count="227" uniqueCount="172">
  <si>
    <t xml:space="preserve">CÉDULA DE ATRIBUTOS PARA REVISIÓN DE ACTAS DE ENTREGA</t>
  </si>
  <si>
    <t xml:space="preserve">Materialización de la entrega</t>
  </si>
  <si>
    <t xml:space="preserve">a) La entrega se efectuará mediante acta elaborada por el servidor público  saliente en la fecha en que el servidor público que lo sustituya en sus funciones tome  posesión del cargo, o en un plazo que no excederá de tres (3) días hábiles contados a partir de la toma de posesión. 
Si para la fecha en que el servidor público saliente se separa del cargo no existiere nombramiento o designación del funcionario que lo sustituirá, la entrega se hará al funcionario público que la máxima autoridad jerárquica del respectivo ente u organismo designe para tal efecto.                                                                                                                                                                                                                                                                                                                                                                                                                                                                                                                                                                                                                                                                                                                                                                                             b) El acta esta debidamente certificada por el funcionario autorizado</t>
  </si>
  <si>
    <t xml:space="preserve">Responsables de elaborar y suscribir el acta de entrega</t>
  </si>
  <si>
    <t xml:space="preserve">c)  Corresponderá a los servidores públicos salientes la elaboración, presentación y suscripción de la respectiva acta de entrega.</t>
  </si>
  <si>
    <t xml:space="preserve">Omisión de la entrega formal mediante acta</t>
  </si>
  <si>
    <t xml:space="preserve">d)  Cuando el servidor público saliente no cumpla con la obligación de hacer la entrega formal del órgano, entidad, oficina o dependencia, mediante el acta a que se refiere el Artículo 4, corresponderá al servidor público entrante, o la persona que haya sido designada por la máxima autoridad jerárquica del organismo o entidad para recibirla, levantar acta detallada, con asistencia de dos testigos, y del auditor interno del organismo o entidad, en la cual dejará constancia del estado en que se encuentren los asuntos, bienes y los recursos asignados, y se especificarán los errores, deficiencias u omisiones que se advirtieren, así como cualquier otra situación que sea necesario señalar en resguardo de la delimitación de responsabilidades de quien recibe. 
El servidor público entrante, o la persona que haya sido designada por la máxima autoridad jerárquica para recibirla, una vez suscrita el acta remitirá copia certificada a la unidad de auditoría interna del órgano o entidad, para que ejerza las acciones que correspondan, en aplicación de lo dispuesto en la ley Orgánica de la Contraloría General de la República y del Sistema Nacional de Control Fiscal.</t>
  </si>
  <si>
    <t xml:space="preserve">Datos que debe contener el acta de entrega:</t>
  </si>
  <si>
    <t xml:space="preserve">e) Lugar de la suscripción del Acta.</t>
  </si>
  <si>
    <t xml:space="preserve">f) Fecha de la suscripción del Acta.</t>
  </si>
  <si>
    <t xml:space="preserve">g) Identificación del órgano, entidad, oficina o dependencia que se entrega.</t>
  </si>
  <si>
    <t xml:space="preserve">h) Identificación de quien entrega.</t>
  </si>
  <si>
    <t xml:space="preserve">i) Identificación de quien recibe.</t>
  </si>
  <si>
    <t xml:space="preserve">j)  Motivo de la entrega.</t>
  </si>
  <si>
    <t xml:space="preserve">k) Fundamentación legal del motivo de la entrega.</t>
  </si>
  <si>
    <t xml:space="preserve">l) Mención expresa de que los anexos forman parte integrante del acta</t>
  </si>
  <si>
    <t xml:space="preserve">m) Suscripción del acta de quien entrega.</t>
  </si>
  <si>
    <t xml:space="preserve">n)  Suscripción del acta de quien recibe.</t>
  </si>
  <si>
    <t xml:space="preserve">OBSERVACIONES O COMENTARIOS ADICIONALES</t>
  </si>
  <si>
    <t xml:space="preserve">GACETA OFICIAL Nro. 39.229 de fecha 28/07/2009; Nro. 01-00-000162 de fecha 27/07/2009</t>
  </si>
  <si>
    <t xml:space="preserve">NORMAS PARA REGULAR LA ENTREGA DE LOS ÓRGANOS Y ENTIDADES DE LA ADMINISTRACIÓN PÚBLICA Y DE SUS RESPECTIVAS OFICINAS O DEPENDENCIAS</t>
  </si>
  <si>
    <t xml:space="preserve">Articulos Nro. 4, 8, 9 y 10</t>
  </si>
  <si>
    <t xml:space="preserve">Datos que debe contener los anexos del acta:</t>
  </si>
  <si>
    <t xml:space="preserve">a) Estado de las cuentas que refleje la situación presupuestaria, financiera y patrimonial, cuando sea aplicable.</t>
  </si>
  <si>
    <t xml:space="preserve">b) Mención del número de cargos exigentes.</t>
  </si>
  <si>
    <t xml:space="preserve">c) Mención de los empleados u obreros, fijos o contratados.</t>
  </si>
  <si>
    <t xml:space="preserve">d) Mención del número de jubilados y pensionados.</t>
  </si>
  <si>
    <t xml:space="preserve">e) Inventario de los bienes muebles e inmuebles.</t>
  </si>
  <si>
    <t xml:space="preserve">f) Situación de la ejecución del plan operativo de conformidad con los objetivos propuestos y las metas fijadas en el presupuesto correspondiente.</t>
  </si>
  <si>
    <t xml:space="preserve">g) Indice general del archivo.</t>
  </si>
  <si>
    <t xml:space="preserve">Datos e información que deben incluirse en los anexos</t>
  </si>
  <si>
    <t xml:space="preserve">h) Los anexos del acta de entrega deberán incluir datos e información, con fecha de corte al momento del cese en el ejercicio del empleo, cargo o función pública del servidor público que entrega. 
Es responsabilidad de quien entrega, la exactitud del acta y sus anexos tanto cualitativa como cuantitativamente.</t>
  </si>
  <si>
    <t xml:space="preserve">Original y copias del acta y sus anexos</t>
  </si>
  <si>
    <t xml:space="preserve">i) El acta de entrega y sus anexos se elaborarán en original y tres (3) copias certificadas. Una vez suscrita el acta, el original se archivará en el despacho de la máxima autoridad jerárquica del órgano o entidad, o en la oficina o dependencia que se entrega; una (1) copia certificada se entregará al servidor público que recibe; una (1) al servidor público que entrega; y una (1) a la unidad de auditoría interna del órgano o entidad, dentro de los cinco (5) días hábiles siguientes de la fecha de suscripción de la mencionada acta.</t>
  </si>
  <si>
    <t xml:space="preserve">j) El acta de entrega se recibio en la Unidad de Auditoria Interna dentro de los cinco (5) dias habiles siguientes a la fecha de suscripción de la misma.</t>
  </si>
  <si>
    <t xml:space="preserve">Articulos Nro.  11, 18 y 21 </t>
  </si>
  <si>
    <t xml:space="preserve">Otros Anexos del acta: </t>
  </si>
  <si>
    <t xml:space="preserve">a) Monto de los fondos  y bienes asignados Presupuestariamente a la respectiva unidad administradora.</t>
  </si>
  <si>
    <t xml:space="preserve">b) Saldo en efectivo de dichos fondos a la fecha de entrega de la gestión.</t>
  </si>
  <si>
    <t xml:space="preserve">c) Estados bancarios actualizados y conciliados.</t>
  </si>
  <si>
    <t xml:space="preserve">d) Lista de comprobantes de gastos.</t>
  </si>
  <si>
    <t xml:space="preserve">e) Cheques emitidos pendientes de cobro.</t>
  </si>
  <si>
    <t xml:space="preserve">Articulo Nro.  12</t>
  </si>
  <si>
    <t xml:space="preserve">Gaceta Oficial Nro. 5.781 Extraordinaria de fecha 12/08/2005, Decreto 3.776 de fecha 18/07/2005</t>
  </si>
  <si>
    <t xml:space="preserve">REGLAMENTO Nro. 1 DE LA LEY ORGANICA DE LA ADMINISTRACION FINANCIERA DEL SECTOR PUBLICO, SOBRE EL SISTEMA PRESUPUESTARIO</t>
  </si>
  <si>
    <t xml:space="preserve">Articulo Nro. 53</t>
  </si>
  <si>
    <r>
      <rPr>
        <b val="true"/>
        <sz val="12"/>
        <rFont val="Arial Narrow"/>
        <family val="2"/>
        <charset val="1"/>
      </rPr>
      <t xml:space="preserve">Ref.</t>
    </r>
    <r>
      <rPr>
        <sz val="12"/>
        <rFont val="Arial Narrow"/>
        <family val="2"/>
        <charset val="1"/>
      </rPr>
      <t xml:space="preserve"> CAN 001</t>
    </r>
  </si>
  <si>
    <t xml:space="preserve">Organismo Auditado: CANTV</t>
  </si>
  <si>
    <t xml:space="preserve">01-02-2024 al 30-08-2024</t>
  </si>
  <si>
    <t xml:space="preserve">Cédula Analítica de la Entrega de Actas (Atributos y Observaciones) realizadas a su contenido</t>
  </si>
  <si>
    <t xml:space="preserve">UNIDAD QUE ENTREGA</t>
  </si>
  <si>
    <t xml:space="preserve">UNIDAD DE ADSCRIPCION</t>
  </si>
  <si>
    <t xml:space="preserve">NOMBRE SALIENTE</t>
  </si>
  <si>
    <t xml:space="preserve">NOMBRE RECIBE</t>
  </si>
  <si>
    <t xml:space="preserve">PERIODO QUE ENTREGA</t>
  </si>
  <si>
    <t xml:space="preserve">${unidad_entrega}</t>
  </si>
  <si>
    <t xml:space="preserve">${unidad_adcripta}</t>
  </si>
  <si>
    <t xml:space="preserve">${nombre_saliente}</t>
  </si>
  <si>
    <t xml:space="preserve">${nombre_recibe}</t>
  </si>
  <si>
    <t xml:space="preserve">DESDE</t>
  </si>
  <si>
    <t xml:space="preserve">HASTA</t>
  </si>
  <si>
    <t xml:space="preserve">C.I ${cedula_saliente}</t>
  </si>
  <si>
    <t xml:space="preserve">C.I${celula_recibe}</t>
  </si>
  <si>
    <t xml:space="preserve">${periodo_desde}</t>
  </si>
  <si>
    <t xml:space="preserve">${periodo_hasta}</t>
  </si>
  <si>
    <t xml:space="preserve">Aspectos a chequear</t>
  </si>
  <si>
    <t xml:space="preserve">Evaluación del Acta de Entrega  Ref: CAT-001</t>
  </si>
  <si>
    <t xml:space="preserve">  Evaluación de los Soportes Anexos   Ref: CAT-002</t>
  </si>
  <si>
    <t xml:space="preserve">Otras observaciones   Ref: CAT-003</t>
  </si>
  <si>
    <t xml:space="preserve">Item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</si>
  <si>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</si>
  <si>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</si>
  <si>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</si>
  <si>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</si>
  <si>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</si>
  <si>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</si>
  <si>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</si>
  <si>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</si>
  <si>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</si>
  <si>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</si>
  <si>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l</t>
  </si>
  <si>
    <t xml:space="preserve">m</t>
  </si>
  <si>
    <t xml:space="preserve">n</t>
  </si>
  <si>
    <t xml:space="preserve">=&gt;</t>
  </si>
  <si>
    <t xml:space="preserve">N/A</t>
  </si>
  <si>
    <t xml:space="preserve"> </t>
  </si>
  <si>
    <t xml:space="preserve"> Total debilidades por atributo de revisión</t>
  </si>
  <si>
    <t xml:space="preserve"> %       Incumplimiento de la norma analizada.</t>
  </si>
  <si>
    <t xml:space="preserve">%</t>
  </si>
  <si>
    <t xml:space="preserve">0        Se cumple satisfactoriamente el atributo</t>
  </si>
  <si>
    <t xml:space="preserve">1         No   se  cumple   el   atributo</t>
  </si>
  <si>
    <t xml:space="preserve"> N/A      No aplica el atributo en este comprobante</t>
  </si>
  <si>
    <t xml:space="preserve">"N/A"</t>
  </si>
  <si>
    <t xml:space="preserve">  Elaborado Por:</t>
  </si>
  <si>
    <t xml:space="preserve">Revisado por:</t>
  </si>
  <si>
    <r>
      <rPr>
        <b val="true"/>
        <sz val="11"/>
        <rFont val="Arial"/>
        <family val="2"/>
        <charset val="1"/>
      </rPr>
      <t xml:space="preserve">Nombres y Apellidos:                  </t>
    </r>
    <r>
      <rPr>
        <sz val="11"/>
        <color theme="1"/>
        <rFont val="Calibri"/>
        <family val="2"/>
        <charset val="1"/>
      </rPr>
      <t xml:space="preserve">  </t>
    </r>
  </si>
  <si>
    <t xml:space="preserve">${auditor_a}</t>
  </si>
  <si>
    <t xml:space="preserve">Nombres y Apellidos:                    </t>
  </si>
  <si>
    <t xml:space="preserve">${auditor_b}</t>
  </si>
  <si>
    <t xml:space="preserve">  Cargo:</t>
  </si>
  <si>
    <t xml:space="preserve">Auditor</t>
  </si>
  <si>
    <t xml:space="preserve">Coordinador</t>
  </si>
  <si>
    <t xml:space="preserve">  Firma: </t>
  </si>
  <si>
    <r>
      <rPr>
        <b val="true"/>
        <sz val="11"/>
        <rFont val="Arial Narrow"/>
        <family val="2"/>
        <charset val="1"/>
      </rPr>
      <t xml:space="preserve">Ref.</t>
    </r>
    <r>
      <rPr>
        <sz val="11"/>
        <rFont val="Arial Narrow"/>
        <family val="2"/>
        <charset val="1"/>
      </rPr>
      <t xml:space="preserve">: CDE 001</t>
    </r>
  </si>
  <si>
    <t xml:space="preserve">CÉDULA DE DETALLE </t>
  </si>
  <si>
    <t xml:space="preserve">Vicepresidencia, Gerencia General, Gerencia o Coordinación: </t>
  </si>
  <si>
    <t xml:space="preserve">Número</t>
  </si>
  <si>
    <t xml:space="preserve">DESCRIPCIÓN</t>
  </si>
  <si>
    <t xml:space="preserve">Incluir al Informe</t>
  </si>
  <si>
    <t xml:space="preserve">Sí</t>
  </si>
  <si>
    <t xml:space="preserve">No</t>
  </si>
  <si>
    <t xml:space="preserve">No Aplica</t>
  </si>
  <si>
    <t xml:space="preserve">Ref.:</t>
  </si>
  <si>
    <t xml:space="preserve">Atributo</t>
  </si>
  <si>
    <t xml:space="preserve">% de incumplimiento de la norma analizada</t>
  </si>
  <si>
    <t xml:space="preserve">El acta se entrego en un plazo no superior de tres (3) días habiles, al funcionario entrante o al funcionario que designe la maxima autoridad.</t>
  </si>
  <si>
    <t xml:space="preserve">El acta esta debidamente certificada por el funcionario autorizada</t>
  </si>
  <si>
    <t xml:space="preserve">El funcionario saliente elaboró, presentó y suscribió la respectiva acta de entrega.</t>
  </si>
  <si>
    <t xml:space="preserve">En caso de no recibir acta de entrega, el funcionario entrante levanto acta detallada indicando el estado en que se encuentran los asuntos, bienes y recursos asignados. Con dos testigos y el auditor interno del organismo.</t>
  </si>
  <si>
    <t xml:space="preserve">Lugar de la suscripción del Acta.</t>
  </si>
  <si>
    <t xml:space="preserve">Fecha de la suscripción del Acta.</t>
  </si>
  <si>
    <t xml:space="preserve">Identificación del órgano, entidad, oficina o dependencia que se entrega.</t>
  </si>
  <si>
    <t xml:space="preserve">Identificación de quien entrega.</t>
  </si>
  <si>
    <t xml:space="preserve">Identificación de quien recibe.</t>
  </si>
  <si>
    <t xml:space="preserve">Motivo de la entrega.</t>
  </si>
  <si>
    <t xml:space="preserve">Fundamentación legal del motivo de la entrega.</t>
  </si>
  <si>
    <t xml:space="preserve">Mención expresa de que los anexos forman parte integrante del acta</t>
  </si>
  <si>
    <t xml:space="preserve">Suscripción del acta de quien entrega.</t>
  </si>
  <si>
    <t xml:space="preserve">Suscripción del acta de quien recibe.</t>
  </si>
  <si>
    <t xml:space="preserve">Estado de las cuentas que refleje la situación presupuestaria, financiera y patrimonial, cuando sea aplicable.</t>
  </si>
  <si>
    <t xml:space="preserve">Mención del número de cargos exigentes.</t>
  </si>
  <si>
    <t xml:space="preserve">Mención de los empleados u obreros.</t>
  </si>
  <si>
    <t xml:space="preserve">Mención del número de jubilados y pensionados.</t>
  </si>
  <si>
    <t xml:space="preserve">Inventario de los bienes muebles e inmuebles.</t>
  </si>
  <si>
    <t xml:space="preserve">Situación de la ejecución del plan operativo de conformidad con los objetivos propuestos y las metas fijadas en el presupuesto correspondiente.</t>
  </si>
  <si>
    <t xml:space="preserve">Indice general del archivo.</t>
  </si>
  <si>
    <t xml:space="preserve">SINC</t>
  </si>
  <si>
    <t xml:space="preserve">Datos e información, con fecha de corte al momento del cese en el ejercicio del empleo, cargo o función pública del funcionario o empleado que entrega.</t>
  </si>
  <si>
    <t xml:space="preserve">FORM.</t>
  </si>
  <si>
    <t xml:space="preserve">El acta de entrega y sus anexos se elaborarán en original y tres (3) copias certificadas.</t>
  </si>
  <si>
    <t xml:space="preserve">El acta de entrega se recibio en la Unidad de Auditoria Interna dentro de los cinco (5) dias habiles siguientes a la fecha de suscripción de la misma.</t>
  </si>
  <si>
    <t xml:space="preserve">Monto de los fondos  y bienes asignados Presupuestariamente 
a la respectiva unidad administradora.</t>
  </si>
  <si>
    <t xml:space="preserve">Saldo en efectivo de dichos fondos a la fecha de entrega de la gestión.</t>
  </si>
  <si>
    <t xml:space="preserve">Estados bancarios actualizados y conciliados.</t>
  </si>
  <si>
    <t xml:space="preserve">Lista de comprobantes de gastos.</t>
  </si>
  <si>
    <t xml:space="preserve">Cheques emitidos pendientes de cobro.</t>
  </si>
  <si>
    <r>
      <rPr>
        <sz val="11"/>
        <rFont val="Arial Narrow"/>
        <family val="2"/>
        <charset val="1"/>
      </rPr>
      <t xml:space="preserve">Se constató que la servidora pública saliente no incorporó en el acta de entrega, información o documentos referidos al </t>
    </r>
    <r>
      <rPr>
        <b val="true"/>
        <sz val="11"/>
        <rFont val="Arial Narrow"/>
        <family val="2"/>
        <charset val="1"/>
      </rPr>
      <t xml:space="preserve">Inventario de los bienes muebles</t>
    </r>
    <r>
      <rPr>
        <sz val="11"/>
        <rFont val="Arial Narrow"/>
        <family val="2"/>
        <charset val="1"/>
      </rPr>
      <t xml:space="preserve"> e inmuebles. Al respecto, el artículo 11 de la citada normativa, establece: 
Artículo 11.- El acta de entrega a que se refiere el Artículo anterior deberá acompañarse de los anexos siguientes:   
1) Estado de las cuentas que refleje la situación presupuestaria, financiera y patrimonial, cuando sea aplicable.
2) Mención del número de cargos existentes, con señalamiento de si son empleados u obreros, fijos o contratados, así como el número de jubilados y pensionados, de ser el caso.
3) </t>
    </r>
    <r>
      <rPr>
        <b val="true"/>
        <sz val="11"/>
        <rFont val="Arial Narrow"/>
        <family val="2"/>
        <charset val="1"/>
      </rPr>
      <t xml:space="preserve">Inventario de los bienes muebles</t>
    </r>
    <r>
      <rPr>
        <sz val="11"/>
        <rFont val="Arial Narrow"/>
        <family val="2"/>
        <charset val="1"/>
      </rPr>
      <t xml:space="preserve"> e inmuebles.
4) Situación de la ejecución del plan operativo de conformidad con los objetivos propuestos y las metas fijadas en el presupuesto correspondiente.
5) Índice general del archivo.
6) Cualquier otra información o documentación que se considere necesaria
</t>
    </r>
  </si>
  <si>
    <t xml:space="preserve">ELABORADO POR:</t>
  </si>
  <si>
    <t xml:space="preserve">REVISADO POR:</t>
  </si>
  <si>
    <t xml:space="preserve">Firma:</t>
  </si>
  <si>
    <t xml:space="preserve">Ref:  IDOE 001</t>
  </si>
  <si>
    <t xml:space="preserve">INFORME DE DEBILIDADES </t>
  </si>
  <si>
    <t xml:space="preserve">DESCRIPCION</t>
  </si>
  <si>
    <t xml:space="preserve">Ref.</t>
  </si>
  <si>
    <t xml:space="preserve">SI</t>
  </si>
  <si>
    <t xml:space="preserve">NO</t>
  </si>
  <si>
    <t xml:space="preserve">Del examen realizado a la materialización, suscripción y contenido del acta de entrega de la Coordinación, se determinaron las siguientes observaciones y deficiencias:</t>
  </si>
  <si>
    <r>
      <rPr>
        <sz val="12"/>
        <rFont val="Arial Narrow"/>
        <family val="2"/>
        <charset val="1"/>
      </rPr>
      <t xml:space="preserve">Se constató que la servidora pública saliente no incorporó en el acta de entrega, información o documentos referidos a</t>
    </r>
    <r>
      <rPr>
        <b val="true"/>
        <sz val="12"/>
        <rFont val="Arial Narrow"/>
        <family val="2"/>
        <charset val="1"/>
      </rPr>
      <t xml:space="preserve"> Inventario de los bienes muebles</t>
    </r>
    <r>
      <rPr>
        <sz val="12"/>
        <rFont val="Arial Narrow"/>
        <family val="2"/>
        <charset val="1"/>
      </rPr>
      <t xml:space="preserve"> e inmuebles. Al respecto, el artículo 11 de la citada normativa, establece: 
Artículo 11.- El acta de entrega a que se refiere el Artículo anterior deberá acompañarse de los anexos siguientes:   
1) Estado de las cuentas que refleje la situación presupuestaria, financiera y patrimonial, cuando sea aplicable.
2) Mención del número de cargos existentes, con señalamiento de si son empleados u obreros, fijos o contratados, así como el número de jubilados y pensionados, de ser el caso.
3)</t>
    </r>
    <r>
      <rPr>
        <b val="true"/>
        <sz val="12"/>
        <rFont val="Arial Narrow"/>
        <family val="2"/>
        <charset val="1"/>
      </rPr>
      <t xml:space="preserve"> Inventario de los bienes muebles</t>
    </r>
    <r>
      <rPr>
        <sz val="12"/>
        <rFont val="Arial Narrow"/>
        <family val="2"/>
        <charset val="1"/>
      </rPr>
      <t xml:space="preserve"> e inmuebles.
4) Situación de la ejecución del plan operativo de conformidad con los objetivos propuestos y las metas fijadas en el presupuesto correspondiente.
5) Índice general del archivo.
6) Cualquier otra información o documentación que se considere necesaria
</t>
    </r>
  </si>
  <si>
    <t xml:space="preserve">X</t>
  </si>
  <si>
    <t xml:space="preserve">${code}</t>
  </si>
  <si>
    <t xml:space="preserve">DESGLOSE DE HALLAZGOS DE AUDITORIA</t>
  </si>
  <si>
    <t xml:space="preserve">CONDICIÓN y CRITERIO</t>
  </si>
  <si>
    <r>
      <rPr>
        <sz val="11"/>
        <rFont val="Arial Narrow"/>
        <family val="2"/>
        <charset val="1"/>
      </rPr>
      <t xml:space="preserve">Se constató que la servidora pública saliente no incorporó en el acta de entrega, información o documentos referidos al </t>
    </r>
    <r>
      <rPr>
        <b val="true"/>
        <sz val="11"/>
        <rFont val="Arial Narrow"/>
        <family val="2"/>
        <charset val="1"/>
      </rPr>
      <t xml:space="preserve">Inventario de los bienes muebles</t>
    </r>
    <r>
      <rPr>
        <sz val="11"/>
        <rFont val="Arial Narrow"/>
        <family val="2"/>
        <charset val="1"/>
      </rPr>
      <t xml:space="preserve"> e inmuebles. Al respecto, el artículo 11 de la citada normativa, establece: 
Artículo 11.- El acta de entrega a que se refiere el Artículo anterior deberá acompañarse de los anexos siguientes:   
1) Estado de las cuentas que refleje la situación presupuestaria, financiera y patrimonial, cuando sea aplicable.
2) Mención del número de cargos existentes, con señalamiento de si son empleados u obreros, fijos o contratados, así como el número de jubilados y pensionados, de ser el caso.
3)</t>
    </r>
    <r>
      <rPr>
        <b val="true"/>
        <sz val="11"/>
        <rFont val="Arial Narrow"/>
        <family val="2"/>
        <charset val="1"/>
      </rPr>
      <t xml:space="preserve"> Inventario de los bienes muebles e inmuebles</t>
    </r>
    <r>
      <rPr>
        <sz val="11"/>
        <rFont val="Arial Narrow"/>
        <family val="2"/>
        <charset val="1"/>
      </rPr>
      <t xml:space="preserve">.
4) Situación de la ejecución del plan operativo de conformidad con los objetivos propuestos y las metas fijadas en el presupuesto correspondiente.
5) Índice general del archivo.
6) Cualquier otra información o documentación que se considere necesaria
</t>
    </r>
  </si>
  <si>
    <t xml:space="preserve">CAUSA:</t>
  </si>
  <si>
    <t xml:space="preserve">Se  evidencia la  debilidades de control interno en la elaboración de la respectiva acta de entrega y su documentación soporte.</t>
  </si>
  <si>
    <t xml:space="preserve">EFECTO:</t>
  </si>
  <si>
    <t xml:space="preserve">Dificulta verificar la legalidad, sinceridad y exactitud de la información reflejada en el acta.</t>
  </si>
  <si>
    <t xml:space="preserve">EVIDENCIAS:</t>
  </si>
  <si>
    <t xml:space="preserve">Acta de entrega.</t>
  </si>
  <si>
    <t xml:space="preserve">Elaborado por:                  </t>
  </si>
  <si>
    <t xml:space="preserve">Nombres y Apellidos: </t>
  </si>
  <si>
    <t xml:space="preserve">Cargo:  </t>
  </si>
</sst>
</file>

<file path=xl/styles.xml><?xml version="1.0" encoding="utf-8"?>
<styleSheet xmlns="http://schemas.openxmlformats.org/spreadsheetml/2006/main">
  <numFmts count="12">
    <numFmt numFmtId="164" formatCode="0"/>
    <numFmt numFmtId="165" formatCode="General"/>
    <numFmt numFmtId="166" formatCode="_(* #,##0.00_);_(* \(#,##0.00\);_(* \-??_);_(@_)"/>
    <numFmt numFmtId="167" formatCode="&quot;Sí&quot;;&quot;Sí&quot;;&quot;No&quot;"/>
    <numFmt numFmtId="168" formatCode="General"/>
    <numFmt numFmtId="169" formatCode="dd\/mm\/yyyy"/>
    <numFmt numFmtId="170" formatCode="#,##0.00"/>
    <numFmt numFmtId="171" formatCode="dd/mm/yyyy"/>
    <numFmt numFmtId="172" formatCode="####\-##\-###"/>
    <numFmt numFmtId="173" formatCode="mmmm&quot; de &quot;yyyy"/>
    <numFmt numFmtId="174" formatCode="#,##0"/>
    <numFmt numFmtId="175" formatCode="dd\-mmm\-yy"/>
  </numFmts>
  <fonts count="6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3" tint="0.1499"/>
      <name val="Calibri"/>
      <family val="2"/>
      <charset val="1"/>
    </font>
    <font>
      <b val="true"/>
      <sz val="15"/>
      <color theme="3"/>
      <name val="Segoe UI"/>
      <family val="2"/>
      <charset val="1"/>
    </font>
    <font>
      <u val="single"/>
      <sz val="11"/>
      <color theme="10"/>
      <name val="Segoe U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theme="1"/>
      <name val="Segoe UI"/>
      <family val="2"/>
      <charset val="1"/>
    </font>
    <font>
      <sz val="10"/>
      <color rgb="FF000000"/>
      <name val="Times New Roman"/>
      <family val="1"/>
      <charset val="1"/>
    </font>
    <font>
      <sz val="10"/>
      <name val="Tahoma"/>
      <family val="2"/>
      <charset val="1"/>
    </font>
    <font>
      <sz val="6"/>
      <name val="Tahoma"/>
      <family val="2"/>
      <charset val="1"/>
    </font>
    <font>
      <b val="true"/>
      <sz val="11"/>
      <color theme="0"/>
      <name val="Arial Narrow"/>
      <family val="2"/>
      <charset val="1"/>
    </font>
    <font>
      <b val="true"/>
      <sz val="10"/>
      <name val="Tahoma"/>
      <family val="2"/>
      <charset val="1"/>
    </font>
    <font>
      <sz val="11"/>
      <name val="Arial Narrow"/>
      <family val="2"/>
      <charset val="1"/>
    </font>
    <font>
      <b val="true"/>
      <sz val="11"/>
      <name val="Arial Narrow"/>
      <family val="2"/>
      <charset val="1"/>
    </font>
    <font>
      <b val="true"/>
      <i val="true"/>
      <sz val="6"/>
      <name val="Tahoma"/>
      <family val="2"/>
      <charset val="1"/>
    </font>
    <font>
      <b val="true"/>
      <sz val="6"/>
      <name val="Tahoma"/>
      <family val="2"/>
      <charset val="1"/>
    </font>
    <font>
      <b val="true"/>
      <sz val="10"/>
      <color rgb="FF000000"/>
      <name val="Arial"/>
      <family val="0"/>
    </font>
    <font>
      <sz val="10"/>
      <color rgb="FF000000"/>
      <name val="Arial"/>
      <family val="0"/>
    </font>
    <font>
      <b val="true"/>
      <sz val="9"/>
      <color rgb="FF000000"/>
      <name val="Arial"/>
      <family val="0"/>
    </font>
    <font>
      <sz val="9"/>
      <color rgb="FF000000"/>
      <name val="Times New Roman"/>
      <family val="0"/>
    </font>
    <font>
      <sz val="11"/>
      <color theme="1"/>
      <name val="Arial Narrow"/>
      <family val="2"/>
      <charset val="1"/>
    </font>
    <font>
      <b val="true"/>
      <sz val="14"/>
      <name val="Arial Narrow"/>
      <family val="2"/>
      <charset val="1"/>
    </font>
    <font>
      <b val="true"/>
      <sz val="12"/>
      <name val="Arial Narrow"/>
      <family val="2"/>
      <charset val="1"/>
    </font>
    <font>
      <sz val="12"/>
      <name val="Arial Narrow"/>
      <family val="2"/>
      <charset val="1"/>
    </font>
    <font>
      <b val="true"/>
      <sz val="10"/>
      <name val="Arial Narrow"/>
      <family val="2"/>
      <charset val="1"/>
    </font>
    <font>
      <b val="true"/>
      <sz val="16"/>
      <color theme="0"/>
      <name val="Arial Narrow"/>
      <family val="2"/>
      <charset val="1"/>
    </font>
    <font>
      <b val="true"/>
      <sz val="12"/>
      <name val="Tahoma"/>
      <family val="2"/>
      <charset val="1"/>
    </font>
    <font>
      <b val="true"/>
      <sz val="11"/>
      <color theme="1"/>
      <name val="Calibri"/>
      <family val="2"/>
      <charset val="1"/>
    </font>
    <font>
      <b val="true"/>
      <sz val="11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sz val="11"/>
      <color rgb="FF000000"/>
      <name val="Arial Narrow"/>
      <family val="2"/>
      <charset val="1"/>
    </font>
    <font>
      <b val="true"/>
      <sz val="11"/>
      <color theme="1"/>
      <name val="Arial Narrow"/>
      <family val="2"/>
      <charset val="1"/>
    </font>
    <font>
      <sz val="10"/>
      <color theme="1"/>
      <name val="Arial Narrow"/>
      <family val="2"/>
      <charset val="1"/>
    </font>
    <font>
      <b val="true"/>
      <sz val="11"/>
      <name val="Arial"/>
      <family val="2"/>
      <charset val="1"/>
    </font>
    <font>
      <b val="true"/>
      <sz val="11"/>
      <color theme="0"/>
      <name val="Tahoma"/>
      <family val="2"/>
      <charset val="1"/>
    </font>
    <font>
      <b val="true"/>
      <sz val="12"/>
      <color theme="0"/>
      <name val="Arial Narrow"/>
      <family val="2"/>
      <charset val="1"/>
    </font>
    <font>
      <b val="true"/>
      <sz val="11"/>
      <color rgb="FF0000FF"/>
      <name val="Tahoma"/>
      <family val="2"/>
      <charset val="1"/>
    </font>
    <font>
      <sz val="11"/>
      <name val="Tahoma"/>
      <family val="2"/>
      <charset val="1"/>
    </font>
    <font>
      <b val="true"/>
      <sz val="11"/>
      <color rgb="FF008000"/>
      <name val="Tahoma"/>
      <family val="2"/>
      <charset val="1"/>
    </font>
    <font>
      <sz val="11"/>
      <name val="Arial"/>
      <family val="2"/>
      <charset val="1"/>
    </font>
    <font>
      <sz val="11"/>
      <color rgb="FFFFFF00"/>
      <name val="Arial"/>
      <family val="2"/>
      <charset val="1"/>
    </font>
    <font>
      <sz val="12.5"/>
      <color theme="1"/>
      <name val="Arial Narrow"/>
      <family val="2"/>
      <charset val="1"/>
    </font>
    <font>
      <b val="true"/>
      <sz val="11"/>
      <name val="Tahoma"/>
      <family val="2"/>
      <charset val="1"/>
    </font>
    <font>
      <b val="true"/>
      <sz val="11"/>
      <color rgb="FFFF0000"/>
      <name val="Tahoma"/>
      <family val="2"/>
      <charset val="1"/>
    </font>
    <font>
      <sz val="12"/>
      <color theme="1"/>
      <name val="Arial Narrow"/>
      <family val="2"/>
      <charset val="1"/>
    </font>
    <font>
      <b val="true"/>
      <sz val="11"/>
      <color theme="1" tint="0.0499"/>
      <name val="Tahoma"/>
      <family val="2"/>
      <charset val="1"/>
    </font>
    <font>
      <sz val="9"/>
      <color theme="1"/>
      <name val="Arial Narrow"/>
      <family val="2"/>
      <charset val="1"/>
    </font>
    <font>
      <b val="true"/>
      <sz val="11"/>
      <color rgb="FF0000FF"/>
      <name val="Arial"/>
      <family val="2"/>
      <charset val="1"/>
    </font>
    <font>
      <b val="true"/>
      <sz val="11"/>
      <color rgb="FFFF0000"/>
      <name val="Arial"/>
      <family val="2"/>
      <charset val="1"/>
    </font>
    <font>
      <b val="true"/>
      <sz val="10"/>
      <color rgb="FF0000FF"/>
      <name val="Arial"/>
      <family val="2"/>
      <charset val="1"/>
    </font>
    <font>
      <sz val="10"/>
      <name val="Arial"/>
      <family val="2"/>
    </font>
    <font>
      <sz val="10"/>
      <name val="Arial Narrow"/>
      <family val="2"/>
      <charset val="1"/>
    </font>
    <font>
      <b val="true"/>
      <sz val="11"/>
      <color rgb="FF7030A0"/>
      <name val="Arial Narrow"/>
      <family val="2"/>
      <charset val="1"/>
    </font>
    <font>
      <b val="true"/>
      <sz val="11"/>
      <color theme="3" tint="-0.5"/>
      <name val="Arial Narrow"/>
      <family val="2"/>
      <charset val="1"/>
    </font>
    <font>
      <b val="true"/>
      <sz val="11"/>
      <color rgb="FFFF0000"/>
      <name val="Arial Narrow"/>
      <family val="2"/>
      <charset val="1"/>
    </font>
    <font>
      <b val="true"/>
      <sz val="11"/>
      <color rgb="FF0000FF"/>
      <name val="Arial Narrow"/>
      <family val="2"/>
      <charset val="1"/>
    </font>
    <font>
      <b val="true"/>
      <i val="true"/>
      <sz val="11"/>
      <color theme="3" tint="-0.5"/>
      <name val="Arial Narrow"/>
      <family val="2"/>
      <charset val="1"/>
    </font>
    <font>
      <b val="true"/>
      <i val="true"/>
      <sz val="11"/>
      <color rgb="FFFF0000"/>
      <name val="Arial Narrow"/>
      <family val="2"/>
      <charset val="1"/>
    </font>
    <font>
      <b val="true"/>
      <i val="true"/>
      <sz val="11"/>
      <color rgb="FF0000FF"/>
      <name val="Arial Narrow"/>
      <family val="2"/>
      <charset val="1"/>
    </font>
    <font>
      <b val="true"/>
      <i val="true"/>
      <sz val="11"/>
      <name val="Arial Narrow"/>
      <family val="2"/>
      <charset val="1"/>
    </font>
    <font>
      <b val="true"/>
      <sz val="10"/>
      <name val="Arial"/>
      <family val="2"/>
      <charset val="1"/>
    </font>
    <font>
      <b val="true"/>
      <sz val="8"/>
      <name val="Arial Narrow"/>
      <family val="2"/>
      <charset val="1"/>
    </font>
    <font>
      <b val="true"/>
      <sz val="10"/>
      <color rgb="FF7030A0"/>
      <name val="Arial Narrow"/>
      <family val="2"/>
      <charset val="1"/>
    </font>
    <font>
      <b val="true"/>
      <u val="single"/>
      <sz val="11"/>
      <name val="Arial Narrow"/>
      <family val="2"/>
      <charset val="1"/>
    </font>
    <font>
      <b val="true"/>
      <sz val="9"/>
      <name val="Arial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4"/>
        <bgColor rgb="FF2A62A8"/>
      </patternFill>
    </fill>
    <fill>
      <patternFill patternType="solid">
        <fgColor rgb="FFFFFF99"/>
        <bgColor rgb="FFEBF1DE"/>
      </patternFill>
    </fill>
    <fill>
      <patternFill patternType="solid">
        <fgColor theme="0" tint="-0.05"/>
        <bgColor rgb="FFEBF1DE"/>
      </patternFill>
    </fill>
    <fill>
      <patternFill patternType="solid">
        <fgColor rgb="FF92D050"/>
        <bgColor rgb="FFA6A6A6"/>
      </patternFill>
    </fill>
    <fill>
      <patternFill patternType="solid">
        <fgColor theme="8" tint="-0.5"/>
        <bgColor rgb="FF1F497D"/>
      </patternFill>
    </fill>
    <fill>
      <patternFill patternType="solid">
        <fgColor theme="6" tint="0.7999"/>
        <bgColor rgb="FFF2F2F2"/>
      </patternFill>
    </fill>
    <fill>
      <patternFill patternType="solid">
        <fgColor rgb="FF7030A0"/>
        <bgColor rgb="FF993366"/>
      </patternFill>
    </fill>
    <fill>
      <patternFill patternType="solid">
        <fgColor rgb="FFFFFF00"/>
        <bgColor rgb="FFFFFF00"/>
      </patternFill>
    </fill>
    <fill>
      <patternFill patternType="solid">
        <fgColor rgb="FF0000FF"/>
        <bgColor rgb="FF0000FF"/>
      </patternFill>
    </fill>
    <fill>
      <patternFill patternType="solid">
        <fgColor rgb="FF990000"/>
        <bgColor rgb="FF9C0006"/>
      </patternFill>
    </fill>
    <fill>
      <patternFill patternType="solid">
        <fgColor theme="0" tint="-0.35"/>
        <bgColor rgb="FFC0C0C0"/>
      </patternFill>
    </fill>
    <fill>
      <patternFill patternType="solid">
        <fgColor rgb="FFC0C0C0"/>
        <bgColor rgb="FFCCCCFF"/>
      </patternFill>
    </fill>
  </fills>
  <borders count="43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theme="4"/>
      </bottom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medium"/>
      <right/>
      <top style="thin"/>
      <bottom style="double"/>
      <diagonal/>
    </border>
    <border diagonalUp="false" diagonalDown="false">
      <left style="thin"/>
      <right style="thin"/>
      <top style="thin"/>
      <bottom style="double"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thin"/>
      <bottom style="thin"/>
      <diagonal/>
    </border>
  </borders>
  <cellStyleXfs count="58"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4" fillId="0" border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5" fontId="5" fillId="0" borderId="1" applyFont="true" applyBorder="true" applyAlignment="true" applyProtection="false">
      <alignment horizontal="general" vertical="bottom" textRotation="0" wrapText="false" indent="0" shrinkToFit="false"/>
    </xf>
    <xf numFmtId="165" fontId="6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5" fontId="9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5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7" fontId="8" fillId="0" borderId="0" applyFont="true" applyBorder="false" applyAlignment="true" applyProtection="false">
      <alignment horizontal="general" vertical="bottom" textRotation="0" wrapText="false" indent="0" shrinkToFit="false"/>
    </xf>
    <xf numFmtId="165" fontId="1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30"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0" xfId="2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2" fillId="0" borderId="0" xfId="2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1" fillId="2" borderId="2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1" fillId="2" borderId="3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13" fillId="3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3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4" fillId="4" borderId="5" xfId="2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5" fillId="0" borderId="3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5" fontId="12" fillId="0" borderId="0" xfId="25" applyFont="true" applyBorder="false" applyAlignment="true" applyProtection="true">
      <alignment horizontal="justify" vertical="center" textRotation="0" wrapText="false" indent="0" shrinkToFit="false"/>
      <protection locked="true" hidden="false"/>
    </xf>
    <xf numFmtId="165" fontId="15" fillId="0" borderId="3" xfId="2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6" fillId="4" borderId="5" xfId="2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5" fillId="0" borderId="3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5" fillId="0" borderId="5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7" fillId="0" borderId="0" xfId="25" applyFont="true" applyBorder="false" applyAlignment="true" applyProtection="true">
      <alignment horizontal="justify" vertical="center" textRotation="0" wrapText="false" indent="0" shrinkToFit="false"/>
      <protection locked="true" hidden="false"/>
    </xf>
    <xf numFmtId="165" fontId="15" fillId="0" borderId="6" xfId="2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5" fillId="0" borderId="3" xfId="2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5" fillId="0" borderId="7" xfId="2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5" fillId="2" borderId="2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5" fillId="2" borderId="3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8" fillId="0" borderId="0" xfId="25" applyFont="true" applyBorder="false" applyAlignment="true" applyProtection="true">
      <alignment horizontal="justify" vertical="center" textRotation="0" wrapText="false" indent="0" shrinkToFit="false"/>
      <protection locked="true" hidden="false"/>
    </xf>
    <xf numFmtId="165" fontId="15" fillId="0" borderId="5" xfId="2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5" fillId="0" borderId="5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5" fontId="15" fillId="0" borderId="8" xfId="2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3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3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16" fillId="0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16" fillId="0" borderId="1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4" fillId="0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4" fillId="0" borderId="1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3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16" fillId="0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25" fillId="0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16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17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27" fillId="2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27" fillId="0" borderId="1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27" fillId="2" borderId="1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28" fillId="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29" fillId="0" borderId="1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3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29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29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3" fillId="3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3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3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30" fillId="0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31" fillId="2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6" fillId="2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29" fillId="2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32" fillId="2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33" fillId="2" borderId="2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6" fillId="2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3" fillId="0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0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0" borderId="1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34" fillId="5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6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3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4" fontId="15" fillId="5" borderId="24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5" fontId="16" fillId="6" borderId="2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6" fillId="2" borderId="2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6" fillId="5" borderId="2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6" fillId="5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6" fillId="5" borderId="2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6" fillId="5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6" fillId="0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5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7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8" borderId="2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7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7" fillId="9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23" fillId="0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3" fillId="0" borderId="2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39" fillId="1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0" fillId="1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0" fillId="1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0" fillId="10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1" fillId="1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2" fillId="1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3" fillId="1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2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39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5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6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1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8" fillId="0" borderId="2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2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5" fillId="0" borderId="2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9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3" fillId="11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50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2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12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51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3" fillId="0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3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8" fillId="0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5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5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5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36" fillId="0" borderId="36" xfId="0" applyFont="true" applyBorder="true" applyAlignment="true" applyProtection="true">
      <alignment horizontal="left" vertical="center" textRotation="0" wrapText="true" indent="1" shrinkToFit="false"/>
      <protection locked="true" hidden="false"/>
    </xf>
    <xf numFmtId="165" fontId="50" fillId="2" borderId="3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6" fillId="0" borderId="3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0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45" fillId="0" borderId="36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5" fontId="50" fillId="0" borderId="3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5" fillId="0" borderId="38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5" fontId="50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36" fillId="0" borderId="38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2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4" fillId="2" borderId="0" xfId="2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54" fillId="0" borderId="0" xfId="25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54" fillId="0" borderId="0" xfId="2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5" fontId="16" fillId="0" borderId="40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6" fillId="0" borderId="21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0" borderId="21" xfId="2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16" fillId="0" borderId="2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6" fillId="4" borderId="5" xfId="2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6" fillId="0" borderId="41" xfId="2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5" fillId="0" borderId="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3" fillId="3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3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0" borderId="2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5" fillId="0" borderId="2" xfId="25" applyFont="true" applyBorder="true" applyAlignment="true" applyProtection="true">
      <alignment horizontal="justify" vertical="center" textRotation="0" wrapText="false" indent="0" shrinkToFit="false"/>
      <protection locked="true" hidden="false"/>
    </xf>
    <xf numFmtId="165" fontId="13" fillId="3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6" fillId="0" borderId="3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3" borderId="1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56" fillId="0" borderId="4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4" fontId="56" fillId="0" borderId="23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7" fillId="0" borderId="4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8" fillId="0" borderId="4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0" borderId="23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0" borderId="12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6" fillId="0" borderId="13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5" fontId="16" fillId="0" borderId="20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9" fillId="13" borderId="4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4" fontId="59" fillId="13" borderId="23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0" fillId="13" borderId="4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1" fillId="13" borderId="4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2" fillId="13" borderId="23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2" fillId="13" borderId="12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5" fillId="0" borderId="13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5" fontId="15" fillId="0" borderId="4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5" fontId="15" fillId="13" borderId="13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4" fontId="56" fillId="13" borderId="23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0" borderId="4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0" borderId="23" xfId="2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5" fillId="13" borderId="4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4" fontId="15" fillId="13" borderId="23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3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23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5" fillId="0" borderId="2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5" fillId="0" borderId="23" xfId="25" applyFont="true" applyBorder="true" applyAlignment="true" applyProtection="true">
      <alignment horizontal="justify" vertical="center" textRotation="0" wrapText="false" indent="0" shrinkToFit="false"/>
      <protection locked="true" hidden="false"/>
    </xf>
    <xf numFmtId="165" fontId="15" fillId="2" borderId="23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5" fontId="1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1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5" fillId="0" borderId="2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5" fillId="0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6" fillId="0" borderId="1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15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16" fillId="0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5" fillId="0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5" fillId="0" borderId="1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5" fillId="0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5" fillId="0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63" fillId="0" borderId="0" xfId="25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7" fillId="0" borderId="0" xfId="25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5" fontId="64" fillId="0" borderId="40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64" fillId="0" borderId="21" xfId="2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0" fontId="14" fillId="0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63" fillId="4" borderId="1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6" fillId="0" borderId="41" xfId="25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65" fillId="0" borderId="3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3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3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3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3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4" fillId="0" borderId="23" xfId="25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27" fillId="0" borderId="23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6" fillId="0" borderId="4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5" fontId="16" fillId="0" borderId="21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7" fillId="0" borderId="21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4" fillId="0" borderId="21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2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1" fillId="0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1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4" fillId="0" borderId="1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11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14" fillId="0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1" fillId="0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1" fillId="0" borderId="1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1" fillId="0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0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7" fillId="0" borderId="0" xfId="2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5" fillId="0" borderId="22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7" fillId="0" borderId="0" xfId="2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0" borderId="22" xfId="2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66" fillId="0" borderId="19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6" fillId="0" borderId="42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6" fillId="0" borderId="19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16" fillId="0" borderId="21" xfId="2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67" fillId="0" borderId="0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6" fillId="4" borderId="21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14" borderId="21" xfId="25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5" fontId="15" fillId="0" borderId="22" xfId="2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5" fillId="0" borderId="19" xfId="25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5" fontId="15" fillId="0" borderId="42" xfId="2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6" fillId="0" borderId="21" xfId="25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5" fontId="16" fillId="0" borderId="22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0" borderId="19" xfId="2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6" fillId="0" borderId="22" xfId="2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6" fillId="0" borderId="42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8" fillId="0" borderId="19" xfId="2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8" fillId="0" borderId="22" xfId="2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5" fillId="0" borderId="42" xfId="25" applyFont="true" applyBorder="true" applyAlignment="true" applyProtection="true">
      <alignment horizontal="general" vertical="center" textRotation="0" wrapText="false" indent="0" shrinkToFit="false"/>
      <protection locked="true" hidden="false"/>
    </xf>
  </cellXfs>
  <cellStyles count="4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Detalles de la tabla alineados a la izquierda" xfId="20"/>
    <cellStyle name="Encabezado 1 2" xfId="21"/>
    <cellStyle name="Hipervínculo 2" xfId="22"/>
    <cellStyle name="Millares 2" xfId="23"/>
    <cellStyle name="Millares 6" xfId="24"/>
    <cellStyle name="Normal 10" xfId="25"/>
    <cellStyle name="Normal 11" xfId="26"/>
    <cellStyle name="Normal 2" xfId="27"/>
    <cellStyle name="Normal 2 10" xfId="28"/>
    <cellStyle name="Normal 2 11" xfId="29"/>
    <cellStyle name="Normal 2 12" xfId="30"/>
    <cellStyle name="Normal 2 13" xfId="31"/>
    <cellStyle name="Normal 2 14" xfId="32"/>
    <cellStyle name="Normal 2 15" xfId="33"/>
    <cellStyle name="Normal 2 16" xfId="34"/>
    <cellStyle name="Normal 2 17" xfId="35"/>
    <cellStyle name="Normal 2 18" xfId="36"/>
    <cellStyle name="Normal 2 19" xfId="37"/>
    <cellStyle name="Normal 2 2" xfId="38"/>
    <cellStyle name="Normal 2 20" xfId="39"/>
    <cellStyle name="Normal 2 21" xfId="40"/>
    <cellStyle name="Normal 2 22" xfId="41"/>
    <cellStyle name="Normal 2 23" xfId="42"/>
    <cellStyle name="Normal 2 24" xfId="43"/>
    <cellStyle name="Normal 2 3" xfId="44"/>
    <cellStyle name="Normal 2 4" xfId="45"/>
    <cellStyle name="Normal 2 5" xfId="46"/>
    <cellStyle name="Normal 2 6" xfId="47"/>
    <cellStyle name="Normal 2 7" xfId="48"/>
    <cellStyle name="Normal 2 8" xfId="49"/>
    <cellStyle name="Normal 2 9" xfId="50"/>
    <cellStyle name="Normal 3" xfId="51"/>
    <cellStyle name="Normal 3 2" xfId="52"/>
    <cellStyle name="Normal 4" xfId="53"/>
    <cellStyle name="Normal 5" xfId="54"/>
    <cellStyle name="Normal 6" xfId="55"/>
    <cellStyle name="Normal 7" xfId="56"/>
    <cellStyle name="Normal 9" xfId="57"/>
  </cellStyles>
  <dxfs count="27"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numFmt numFmtId="164" formatCode="0"/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9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EBF1DE"/>
      <rgbColor rgb="FFF2F2F2"/>
      <rgbColor rgb="FF660066"/>
      <rgbColor rgb="FFFF8080"/>
      <rgbColor rgb="FF2A62A8"/>
      <rgbColor rgb="FFCCCCFF"/>
      <rgbColor rgb="FF000080"/>
      <rgbColor rgb="FFFF00FF"/>
      <rgbColor rgb="FFFFFF00"/>
      <rgbColor rgb="FF00FFFF"/>
      <rgbColor rgb="FF800080"/>
      <rgbColor rgb="FF9C0006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4F81BD"/>
      <rgbColor rgb="FFA6A6A6"/>
      <rgbColor rgb="FF10243E"/>
      <rgbColor rgb="FF339966"/>
      <rgbColor rgb="FF0D0D0D"/>
      <rgbColor rgb="FF333300"/>
      <rgbColor rgb="FF993300"/>
      <rgbColor rgb="FF993366"/>
      <rgbColor rgb="FF1F497D"/>
      <rgbColor rgb="FF215968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4.pn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5.png"/><Relationship Id="rId3" Type="http://schemas.openxmlformats.org/officeDocument/2006/relationships/image" Target="../media/image5.png"/><Relationship Id="rId4" Type="http://schemas.openxmlformats.org/officeDocument/2006/relationships/image" Target="../media/image6.pn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7.pn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7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5295960</xdr:colOff>
      <xdr:row>0</xdr:row>
      <xdr:rowOff>28440</xdr:rowOff>
    </xdr:from>
    <xdr:to>
      <xdr:col>0</xdr:col>
      <xdr:colOff>6647760</xdr:colOff>
      <xdr:row>3</xdr:row>
      <xdr:rowOff>227880</xdr:rowOff>
    </xdr:to>
    <xdr:sp>
      <xdr:nvSpPr>
        <xdr:cNvPr id="0" name="Text Box 4"/>
        <xdr:cNvSpPr/>
      </xdr:nvSpPr>
      <xdr:spPr>
        <a:xfrm>
          <a:off x="5295960" y="28440"/>
          <a:ext cx="1351800" cy="885240"/>
        </a:xfrm>
        <a:prstGeom prst="rect">
          <a:avLst/>
        </a:prstGeom>
        <a:noFill/>
        <a:ln w="9525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1" lang="es-VE" sz="1000" spc="-1" strike="noStrike">
              <a:solidFill>
                <a:srgbClr val="000000"/>
              </a:solidFill>
              <a:latin typeface="Arial"/>
            </a:rPr>
            <a:t>Ref:  </a:t>
          </a:r>
          <a:r>
            <a:rPr b="0" lang="es-VE" sz="1000" spc="-1" strike="noStrike">
              <a:solidFill>
                <a:srgbClr val="000000"/>
              </a:solidFill>
              <a:latin typeface="Arial"/>
            </a:rPr>
            <a:t>CAT 001</a:t>
          </a:r>
          <a:endParaRPr b="0" lang="es-VE" sz="10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48</xdr:row>
      <xdr:rowOff>0</xdr:rowOff>
    </xdr:from>
    <xdr:to>
      <xdr:col>0</xdr:col>
      <xdr:colOff>3466440</xdr:colOff>
      <xdr:row>48</xdr:row>
      <xdr:rowOff>360</xdr:rowOff>
    </xdr:to>
    <xdr:sp>
      <xdr:nvSpPr>
        <xdr:cNvPr id="1" name="Text Box 13"/>
        <xdr:cNvSpPr/>
      </xdr:nvSpPr>
      <xdr:spPr>
        <a:xfrm>
          <a:off x="1104840" y="17859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2" name="Text Box 2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3" name="Text Box 2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4" name="Text Box 3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5" name="Text Box 3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6" name="Text Box 3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7" name="Text Box 42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8" name="Text Box 45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9" name="Text Box 4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10" name="Text Box 51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11" name="Text Box 5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>
      <xdr:nvSpPr>
        <xdr:cNvPr id="12" name="Text Box 5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1520" bIns="-11160" anchor="t" upright="1">
          <a:noAutofit/>
        </a:bodyPr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República Bolivariana de Venezuela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Contraloría General del Estado Vargas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s-VE" sz="900" spc="-1" strike="noStrike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b="0" lang="es-VE" sz="9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s-VE" sz="9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5286240</xdr:colOff>
      <xdr:row>28</xdr:row>
      <xdr:rowOff>9360</xdr:rowOff>
    </xdr:from>
    <xdr:to>
      <xdr:col>0</xdr:col>
      <xdr:colOff>6638040</xdr:colOff>
      <xdr:row>31</xdr:row>
      <xdr:rowOff>218160</xdr:rowOff>
    </xdr:to>
    <xdr:sp>
      <xdr:nvSpPr>
        <xdr:cNvPr id="13" name="Text Box 71"/>
        <xdr:cNvSpPr/>
      </xdr:nvSpPr>
      <xdr:spPr>
        <a:xfrm>
          <a:off x="5286240" y="1062972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1" lang="es-VE" sz="1000" spc="-1" strike="noStrike">
              <a:solidFill>
                <a:srgbClr val="000000"/>
              </a:solidFill>
              <a:latin typeface="Arial"/>
            </a:rPr>
            <a:t>Ref: </a:t>
          </a:r>
          <a:r>
            <a:rPr b="0" lang="es-VE" sz="1000" spc="-1" strike="noStrike">
              <a:solidFill>
                <a:srgbClr val="000000"/>
              </a:solidFill>
              <a:latin typeface="Arial"/>
            </a:rPr>
            <a:t>CAT 002</a:t>
          </a:r>
          <a:endParaRPr b="0" lang="es-VE" sz="10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5286240</xdr:colOff>
      <xdr:row>51</xdr:row>
      <xdr:rowOff>19080</xdr:rowOff>
    </xdr:from>
    <xdr:to>
      <xdr:col>0</xdr:col>
      <xdr:colOff>6638040</xdr:colOff>
      <xdr:row>54</xdr:row>
      <xdr:rowOff>227880</xdr:rowOff>
    </xdr:to>
    <xdr:sp>
      <xdr:nvSpPr>
        <xdr:cNvPr id="14" name="Text Box 73"/>
        <xdr:cNvSpPr/>
      </xdr:nvSpPr>
      <xdr:spPr>
        <a:xfrm>
          <a:off x="5286240" y="1886904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1" lang="es-VE" sz="1000" spc="-1" strike="noStrike">
              <a:solidFill>
                <a:srgbClr val="000000"/>
              </a:solidFill>
              <a:latin typeface="Arial"/>
            </a:rPr>
            <a:t>Ref:  </a:t>
          </a:r>
          <a:r>
            <a:rPr b="0" lang="es-VE" sz="1000" spc="-1" strike="noStrike">
              <a:solidFill>
                <a:srgbClr val="000000"/>
              </a:solidFill>
              <a:latin typeface="Arial"/>
            </a:rPr>
            <a:t>CAT 003</a:t>
          </a:r>
          <a:endParaRPr b="0" lang="es-VE" sz="10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152280</xdr:colOff>
      <xdr:row>0</xdr:row>
      <xdr:rowOff>76320</xdr:rowOff>
    </xdr:from>
    <xdr:to>
      <xdr:col>0</xdr:col>
      <xdr:colOff>1523160</xdr:colOff>
      <xdr:row>2</xdr:row>
      <xdr:rowOff>130320</xdr:rowOff>
    </xdr:to>
    <xdr:pic>
      <xdr:nvPicPr>
        <xdr:cNvPr id="15" name="Imagen 1" descr=""/>
        <xdr:cNvPicPr/>
      </xdr:nvPicPr>
      <xdr:blipFill>
        <a:blip r:embed="rId1"/>
        <a:srcRect l="0" t="11324" r="0" b="928"/>
        <a:stretch/>
      </xdr:blipFill>
      <xdr:spPr>
        <a:xfrm>
          <a:off x="152280" y="76320"/>
          <a:ext cx="1370880" cy="511200"/>
        </a:xfrm>
        <a:prstGeom prst="rect">
          <a:avLst/>
        </a:prstGeom>
        <a:ln w="9525">
          <a:noFill/>
        </a:ln>
      </xdr:spPr>
    </xdr:pic>
    <xdr:clientData/>
  </xdr:twoCellAnchor>
  <xdr:twoCellAnchor editAs="twoCell">
    <xdr:from>
      <xdr:col>0</xdr:col>
      <xdr:colOff>0</xdr:colOff>
      <xdr:row>28</xdr:row>
      <xdr:rowOff>95400</xdr:rowOff>
    </xdr:from>
    <xdr:to>
      <xdr:col>0</xdr:col>
      <xdr:colOff>1304280</xdr:colOff>
      <xdr:row>30</xdr:row>
      <xdr:rowOff>124560</xdr:rowOff>
    </xdr:to>
    <xdr:pic>
      <xdr:nvPicPr>
        <xdr:cNvPr id="16" name="Imagen 1" descr=""/>
        <xdr:cNvPicPr/>
      </xdr:nvPicPr>
      <xdr:blipFill>
        <a:blip r:embed="rId2"/>
        <a:srcRect l="0" t="11312" r="0" b="970"/>
        <a:stretch/>
      </xdr:blipFill>
      <xdr:spPr>
        <a:xfrm>
          <a:off x="0" y="10715760"/>
          <a:ext cx="1304280" cy="486360"/>
        </a:xfrm>
        <a:prstGeom prst="rect">
          <a:avLst/>
        </a:prstGeom>
        <a:ln w="9525">
          <a:noFill/>
        </a:ln>
      </xdr:spPr>
    </xdr:pic>
    <xdr:clientData/>
  </xdr:twoCellAnchor>
  <xdr:twoCellAnchor editAs="twoCell">
    <xdr:from>
      <xdr:col>0</xdr:col>
      <xdr:colOff>47520</xdr:colOff>
      <xdr:row>51</xdr:row>
      <xdr:rowOff>133200</xdr:rowOff>
    </xdr:from>
    <xdr:to>
      <xdr:col>0</xdr:col>
      <xdr:colOff>2037600</xdr:colOff>
      <xdr:row>54</xdr:row>
      <xdr:rowOff>189720</xdr:rowOff>
    </xdr:to>
    <xdr:pic>
      <xdr:nvPicPr>
        <xdr:cNvPr id="17" name="Imagen 1" descr=""/>
        <xdr:cNvPicPr/>
      </xdr:nvPicPr>
      <xdr:blipFill>
        <a:blip r:embed="rId3"/>
        <a:srcRect l="0" t="11278" r="0" b="943"/>
        <a:stretch/>
      </xdr:blipFill>
      <xdr:spPr>
        <a:xfrm>
          <a:off x="47520" y="18983160"/>
          <a:ext cx="1990080" cy="7423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0</xdr:colOff>
      <xdr:row>1</xdr:row>
      <xdr:rowOff>95400</xdr:rowOff>
    </xdr:from>
    <xdr:to>
      <xdr:col>1</xdr:col>
      <xdr:colOff>599400</xdr:colOff>
      <xdr:row>3</xdr:row>
      <xdr:rowOff>199440</xdr:rowOff>
    </xdr:to>
    <xdr:pic>
      <xdr:nvPicPr>
        <xdr:cNvPr id="18" name="Imagen 1" descr=""/>
        <xdr:cNvPicPr/>
      </xdr:nvPicPr>
      <xdr:blipFill>
        <a:blip r:embed="rId1"/>
        <a:srcRect l="0" t="11336" r="0" b="972"/>
        <a:stretch/>
      </xdr:blipFill>
      <xdr:spPr>
        <a:xfrm>
          <a:off x="0" y="257400"/>
          <a:ext cx="1001880" cy="38988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19" name="Picture 1" descr=""/>
        <xdr:cNvPicPr/>
      </xdr:nvPicPr>
      <xdr:blipFill>
        <a:blip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 editAs="twoCell">
    <xdr:from>
      <xdr:col>1</xdr:col>
      <xdr:colOff>228600</xdr:colOff>
      <xdr:row>0</xdr:row>
      <xdr:rowOff>0</xdr:rowOff>
    </xdr:from>
    <xdr:to>
      <xdr:col>3</xdr:col>
      <xdr:colOff>256320</xdr:colOff>
      <xdr:row>0</xdr:row>
      <xdr:rowOff>360</xdr:rowOff>
    </xdr:to>
    <xdr:pic>
      <xdr:nvPicPr>
        <xdr:cNvPr id="20" name="Picture 2" descr=""/>
        <xdr:cNvPicPr/>
      </xdr:nvPicPr>
      <xdr:blipFill>
        <a:blip r:embed="rId2"/>
        <a:stretch/>
      </xdr:blipFill>
      <xdr:spPr>
        <a:xfrm>
          <a:off x="701640" y="0"/>
          <a:ext cx="4257000" cy="360"/>
        </a:xfrm>
        <a:prstGeom prst="rect">
          <a:avLst/>
        </a:prstGeom>
        <a:ln w="12700">
          <a:noFill/>
        </a:ln>
      </xdr:spPr>
    </xdr:pic>
    <xdr:clientData/>
  </xdr:twoCellAnchor>
  <xdr:twoCellAnchor editAs="twoCell"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21" name="Picture 3" descr=""/>
        <xdr:cNvPicPr/>
      </xdr:nvPicPr>
      <xdr:blipFill>
        <a:blip r:embed="rId3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 editAs="twoCell">
    <xdr:from>
      <xdr:col>1</xdr:col>
      <xdr:colOff>0</xdr:colOff>
      <xdr:row>0</xdr:row>
      <xdr:rowOff>28440</xdr:rowOff>
    </xdr:from>
    <xdr:to>
      <xdr:col>2</xdr:col>
      <xdr:colOff>608760</xdr:colOff>
      <xdr:row>2</xdr:row>
      <xdr:rowOff>227160</xdr:rowOff>
    </xdr:to>
    <xdr:pic>
      <xdr:nvPicPr>
        <xdr:cNvPr id="22" name="Imagen 1" descr=""/>
        <xdr:cNvPicPr/>
      </xdr:nvPicPr>
      <xdr:blipFill>
        <a:blip r:embed="rId4"/>
        <a:srcRect l="0" t="11283" r="0" b="936"/>
        <a:stretch/>
      </xdr:blipFill>
      <xdr:spPr>
        <a:xfrm>
          <a:off x="473040" y="28440"/>
          <a:ext cx="1122480" cy="67500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0</xdr:colOff>
      <xdr:row>0</xdr:row>
      <xdr:rowOff>0</xdr:rowOff>
    </xdr:from>
    <xdr:to>
      <xdr:col>2</xdr:col>
      <xdr:colOff>294480</xdr:colOff>
      <xdr:row>2</xdr:row>
      <xdr:rowOff>166680</xdr:rowOff>
    </xdr:to>
    <xdr:pic>
      <xdr:nvPicPr>
        <xdr:cNvPr id="23" name="Imagen 1" descr=""/>
        <xdr:cNvPicPr/>
      </xdr:nvPicPr>
      <xdr:blipFill>
        <a:blip r:embed="rId1"/>
        <a:srcRect l="0" t="11312" r="0" b="970"/>
        <a:stretch/>
      </xdr:blipFill>
      <xdr:spPr>
        <a:xfrm>
          <a:off x="191160" y="0"/>
          <a:ext cx="808200" cy="5857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19080</xdr:colOff>
      <xdr:row>0</xdr:row>
      <xdr:rowOff>47520</xdr:rowOff>
    </xdr:from>
    <xdr:to>
      <xdr:col>2</xdr:col>
      <xdr:colOff>637560</xdr:colOff>
      <xdr:row>0</xdr:row>
      <xdr:rowOff>662040</xdr:rowOff>
    </xdr:to>
    <xdr:pic>
      <xdr:nvPicPr>
        <xdr:cNvPr id="24" name="Imagen 1" descr=""/>
        <xdr:cNvPicPr/>
      </xdr:nvPicPr>
      <xdr:blipFill>
        <a:blip r:embed="rId1"/>
        <a:srcRect l="0" t="11312" r="0" b="970"/>
        <a:stretch/>
      </xdr:blipFill>
      <xdr:spPr>
        <a:xfrm>
          <a:off x="824760" y="47520"/>
          <a:ext cx="870120" cy="614520"/>
        </a:xfrm>
        <a:prstGeom prst="rect">
          <a:avLst/>
        </a:prstGeom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Tema de 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8" activeCellId="0" sqref="G8"/>
    </sheetView>
  </sheetViews>
  <sheetFormatPr defaultColWidth="11.43359375" defaultRowHeight="12.75" zeroHeight="false" outlineLevelRow="0" outlineLevelCol="0"/>
  <cols>
    <col collapsed="false" customWidth="true" hidden="false" outlineLevel="0" max="1" min="1" style="1" width="99.86"/>
    <col collapsed="false" customWidth="true" hidden="false" outlineLevel="0" max="2" min="2" style="2" width="3.86"/>
    <col collapsed="false" customWidth="false" hidden="false" outlineLevel="0" max="16384" min="3" style="1" width="11.43"/>
  </cols>
  <sheetData>
    <row r="1" customFormat="false" ht="18" hidden="false" customHeight="true" outlineLevel="0" collapsed="false">
      <c r="A1" s="3"/>
    </row>
    <row r="2" customFormat="false" ht="18" hidden="false" customHeight="true" outlineLevel="0" collapsed="false">
      <c r="A2" s="4"/>
    </row>
    <row r="3" customFormat="false" ht="18" hidden="false" customHeight="true" outlineLevel="0" collapsed="false">
      <c r="A3" s="4"/>
    </row>
    <row r="4" customFormat="false" ht="18" hidden="false" customHeight="true" outlineLevel="0" collapsed="false">
      <c r="A4" s="4"/>
    </row>
    <row r="5" customFormat="false" ht="37.5" hidden="false" customHeight="true" outlineLevel="0" collapsed="false">
      <c r="A5" s="5" t="str">
        <f aca="false"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</row>
    <row r="6" customFormat="false" ht="48.75" hidden="false" customHeight="true" outlineLevel="0" collapsed="false">
      <c r="A6" s="5"/>
    </row>
    <row r="7" customFormat="false" ht="18" hidden="false" customHeight="true" outlineLevel="0" collapsed="false">
      <c r="A7" s="6" t="s">
        <v>0</v>
      </c>
    </row>
    <row r="8" customFormat="false" ht="18" hidden="false" customHeight="true" outlineLevel="0" collapsed="false">
      <c r="A8" s="7" t="s">
        <v>1</v>
      </c>
    </row>
    <row r="9" customFormat="false" ht="113.25" hidden="false" customHeight="true" outlineLevel="0" collapsed="false">
      <c r="A9" s="8" t="s">
        <v>2</v>
      </c>
      <c r="B9" s="9"/>
    </row>
    <row r="10" customFormat="false" ht="18" hidden="false" customHeight="true" outlineLevel="0" collapsed="false">
      <c r="A10" s="7" t="s">
        <v>3</v>
      </c>
    </row>
    <row r="11" customFormat="false" ht="36" hidden="false" customHeight="true" outlineLevel="0" collapsed="false">
      <c r="A11" s="10" t="s">
        <v>4</v>
      </c>
      <c r="B11" s="9"/>
    </row>
    <row r="12" customFormat="false" ht="18" hidden="false" customHeight="true" outlineLevel="0" collapsed="false">
      <c r="A12" s="7" t="s">
        <v>5</v>
      </c>
    </row>
    <row r="13" customFormat="false" ht="164.25" hidden="false" customHeight="true" outlineLevel="0" collapsed="false">
      <c r="A13" s="8" t="s">
        <v>6</v>
      </c>
      <c r="B13" s="9"/>
    </row>
    <row r="14" customFormat="false" ht="18" hidden="false" customHeight="true" outlineLevel="0" collapsed="false">
      <c r="A14" s="11" t="s">
        <v>7</v>
      </c>
    </row>
    <row r="15" customFormat="false" ht="18" hidden="false" customHeight="true" outlineLevel="0" collapsed="false">
      <c r="A15" s="12" t="s">
        <v>8</v>
      </c>
      <c r="B15" s="9"/>
      <c r="E15" s="1" t="n">
        <v>0</v>
      </c>
    </row>
    <row r="16" customFormat="false" ht="18" hidden="false" customHeight="true" outlineLevel="0" collapsed="false">
      <c r="A16" s="13" t="s">
        <v>9</v>
      </c>
      <c r="B16" s="9"/>
    </row>
    <row r="17" customFormat="false" ht="18" hidden="false" customHeight="true" outlineLevel="0" collapsed="false">
      <c r="A17" s="13" t="s">
        <v>10</v>
      </c>
      <c r="B17" s="9"/>
    </row>
    <row r="18" customFormat="false" ht="18" hidden="false" customHeight="true" outlineLevel="0" collapsed="false">
      <c r="A18" s="13" t="s">
        <v>11</v>
      </c>
      <c r="B18" s="9"/>
    </row>
    <row r="19" customFormat="false" ht="18" hidden="false" customHeight="true" outlineLevel="0" collapsed="false">
      <c r="A19" s="13" t="s">
        <v>12</v>
      </c>
      <c r="B19" s="9"/>
    </row>
    <row r="20" customFormat="false" ht="18" hidden="false" customHeight="true" outlineLevel="0" collapsed="false">
      <c r="A20" s="13" t="s">
        <v>13</v>
      </c>
    </row>
    <row r="21" customFormat="false" ht="18" hidden="false" customHeight="true" outlineLevel="0" collapsed="false">
      <c r="A21" s="13" t="s">
        <v>14</v>
      </c>
    </row>
    <row r="22" customFormat="false" ht="18" hidden="false" customHeight="true" outlineLevel="0" collapsed="false">
      <c r="A22" s="13" t="s">
        <v>15</v>
      </c>
    </row>
    <row r="23" customFormat="false" ht="18" hidden="false" customHeight="true" outlineLevel="0" collapsed="false">
      <c r="A23" s="13" t="s">
        <v>16</v>
      </c>
    </row>
    <row r="24" customFormat="false" ht="18" hidden="false" customHeight="true" outlineLevel="0" collapsed="false">
      <c r="A24" s="13" t="s">
        <v>17</v>
      </c>
    </row>
    <row r="25" customFormat="false" ht="18" hidden="false" customHeight="true" outlineLevel="0" collapsed="false">
      <c r="A25" s="6" t="s">
        <v>18</v>
      </c>
      <c r="B25" s="14"/>
    </row>
    <row r="26" customFormat="false" ht="24.75" hidden="false" customHeight="true" outlineLevel="0" collapsed="false">
      <c r="A26" s="15" t="s">
        <v>19</v>
      </c>
    </row>
    <row r="27" customFormat="false" ht="33.75" hidden="false" customHeight="true" outlineLevel="0" collapsed="false">
      <c r="A27" s="16" t="s">
        <v>20</v>
      </c>
    </row>
    <row r="28" customFormat="false" ht="18" hidden="false" customHeight="true" outlineLevel="0" collapsed="false">
      <c r="A28" s="17" t="s">
        <v>21</v>
      </c>
    </row>
    <row r="29" customFormat="false" ht="18" hidden="false" customHeight="true" outlineLevel="0" collapsed="false">
      <c r="A29" s="18"/>
    </row>
    <row r="30" customFormat="false" ht="18" hidden="false" customHeight="true" outlineLevel="0" collapsed="false">
      <c r="A30" s="19"/>
    </row>
    <row r="31" customFormat="false" ht="18" hidden="false" customHeight="true" outlineLevel="0" collapsed="false">
      <c r="A31" s="19"/>
    </row>
    <row r="32" customFormat="false" ht="18" hidden="false" customHeight="true" outlineLevel="0" collapsed="false">
      <c r="A32" s="19"/>
    </row>
    <row r="33" customFormat="false" ht="69.75" hidden="false" customHeight="true" outlineLevel="0" collapsed="false">
      <c r="A33" s="5" t="str">
        <f aca="false"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</row>
    <row r="34" customFormat="false" ht="18" hidden="false" customHeight="true" outlineLevel="0" collapsed="false">
      <c r="A34" s="5" t="s">
        <v>0</v>
      </c>
    </row>
    <row r="35" customFormat="false" ht="18" hidden="false" customHeight="true" outlineLevel="0" collapsed="false">
      <c r="A35" s="11" t="s">
        <v>22</v>
      </c>
    </row>
    <row r="36" customFormat="false" ht="18" hidden="false" customHeight="true" outlineLevel="0" collapsed="false">
      <c r="A36" s="13" t="s">
        <v>23</v>
      </c>
      <c r="B36" s="14"/>
    </row>
    <row r="37" customFormat="false" ht="18" hidden="false" customHeight="true" outlineLevel="0" collapsed="false">
      <c r="A37" s="13" t="s">
        <v>24</v>
      </c>
      <c r="B37" s="20"/>
    </row>
    <row r="38" customFormat="false" ht="18" hidden="false" customHeight="true" outlineLevel="0" collapsed="false">
      <c r="A38" s="13" t="s">
        <v>25</v>
      </c>
      <c r="B38" s="9"/>
    </row>
    <row r="39" customFormat="false" ht="18" hidden="false" customHeight="true" outlineLevel="0" collapsed="false">
      <c r="A39" s="13" t="s">
        <v>26</v>
      </c>
      <c r="B39" s="9"/>
    </row>
    <row r="40" customFormat="false" ht="18" hidden="false" customHeight="true" outlineLevel="0" collapsed="false">
      <c r="A40" s="13" t="s">
        <v>27</v>
      </c>
      <c r="B40" s="9"/>
    </row>
    <row r="41" customFormat="false" ht="33.75" hidden="false" customHeight="true" outlineLevel="0" collapsed="false">
      <c r="A41" s="21" t="s">
        <v>28</v>
      </c>
      <c r="B41" s="9"/>
    </row>
    <row r="42" customFormat="false" ht="18" hidden="false" customHeight="true" outlineLevel="0" collapsed="false">
      <c r="A42" s="13" t="s">
        <v>29</v>
      </c>
      <c r="B42" s="9"/>
    </row>
    <row r="43" customFormat="false" ht="18" hidden="false" customHeight="true" outlineLevel="0" collapsed="false">
      <c r="A43" s="11" t="s">
        <v>30</v>
      </c>
      <c r="B43" s="9"/>
    </row>
    <row r="44" customFormat="false" ht="36.75" hidden="false" customHeight="true" outlineLevel="0" collapsed="false">
      <c r="A44" s="22" t="s">
        <v>31</v>
      </c>
    </row>
    <row r="45" customFormat="false" ht="18" hidden="false" customHeight="true" outlineLevel="0" collapsed="false">
      <c r="A45" s="11" t="s">
        <v>32</v>
      </c>
      <c r="B45" s="9"/>
    </row>
    <row r="46" customFormat="false" ht="90" hidden="false" customHeight="true" outlineLevel="0" collapsed="false">
      <c r="A46" s="22" t="s">
        <v>33</v>
      </c>
    </row>
    <row r="47" customFormat="false" ht="69.75" hidden="false" customHeight="true" outlineLevel="0" collapsed="false">
      <c r="A47" s="22" t="s">
        <v>34</v>
      </c>
    </row>
    <row r="48" customFormat="false" ht="18" hidden="false" customHeight="true" outlineLevel="0" collapsed="false">
      <c r="A48" s="6" t="s">
        <v>18</v>
      </c>
    </row>
    <row r="49" customFormat="false" ht="24.75" hidden="false" customHeight="true" outlineLevel="0" collapsed="false">
      <c r="A49" s="15" t="s">
        <v>19</v>
      </c>
    </row>
    <row r="50" customFormat="false" ht="35.25" hidden="false" customHeight="true" outlineLevel="0" collapsed="false">
      <c r="A50" s="16" t="s">
        <v>20</v>
      </c>
    </row>
    <row r="51" customFormat="false" ht="18" hidden="false" customHeight="true" outlineLevel="0" collapsed="false">
      <c r="A51" s="17" t="s">
        <v>35</v>
      </c>
    </row>
    <row r="52" customFormat="false" ht="18" hidden="false" customHeight="true" outlineLevel="0" collapsed="false">
      <c r="A52" s="18"/>
    </row>
    <row r="53" customFormat="false" ht="18" hidden="false" customHeight="true" outlineLevel="0" collapsed="false">
      <c r="A53" s="19"/>
    </row>
    <row r="54" customFormat="false" ht="18" hidden="false" customHeight="true" outlineLevel="0" collapsed="false">
      <c r="A54" s="19"/>
    </row>
    <row r="55" customFormat="false" ht="18" hidden="false" customHeight="true" outlineLevel="0" collapsed="false">
      <c r="A55" s="19"/>
    </row>
    <row r="56" customFormat="false" ht="69" hidden="false" customHeight="true" outlineLevel="0" collapsed="false">
      <c r="A56" s="5" t="str">
        <f aca="false"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</row>
    <row r="57" customFormat="false" ht="18" hidden="false" customHeight="true" outlineLevel="0" collapsed="false">
      <c r="A57" s="5" t="s">
        <v>0</v>
      </c>
    </row>
    <row r="58" customFormat="false" ht="18" hidden="false" customHeight="true" outlineLevel="0" collapsed="false">
      <c r="A58" s="11" t="s">
        <v>36</v>
      </c>
    </row>
    <row r="59" customFormat="false" ht="23.25" hidden="false" customHeight="true" outlineLevel="0" collapsed="false">
      <c r="A59" s="21" t="s">
        <v>37</v>
      </c>
    </row>
    <row r="60" customFormat="false" ht="18" hidden="false" customHeight="true" outlineLevel="0" collapsed="false">
      <c r="A60" s="13" t="s">
        <v>38</v>
      </c>
    </row>
    <row r="61" customFormat="false" ht="18" hidden="false" customHeight="true" outlineLevel="0" collapsed="false">
      <c r="A61" s="13" t="s">
        <v>39</v>
      </c>
    </row>
    <row r="62" customFormat="false" ht="18" hidden="false" customHeight="true" outlineLevel="0" collapsed="false">
      <c r="A62" s="13" t="s">
        <v>40</v>
      </c>
    </row>
    <row r="63" customFormat="false" ht="18" hidden="false" customHeight="true" outlineLevel="0" collapsed="false">
      <c r="A63" s="21" t="s">
        <v>41</v>
      </c>
    </row>
    <row r="64" customFormat="false" ht="18" hidden="false" customHeight="true" outlineLevel="0" collapsed="false">
      <c r="A64" s="6" t="s">
        <v>18</v>
      </c>
    </row>
    <row r="65" customFormat="false" ht="24.75" hidden="false" customHeight="true" outlineLevel="0" collapsed="false">
      <c r="A65" s="15" t="s">
        <v>19</v>
      </c>
    </row>
    <row r="66" customFormat="false" ht="32.25" hidden="false" customHeight="true" outlineLevel="0" collapsed="false">
      <c r="A66" s="16" t="s">
        <v>20</v>
      </c>
    </row>
    <row r="67" customFormat="false" ht="24.75" hidden="false" customHeight="true" outlineLevel="0" collapsed="false">
      <c r="A67" s="23" t="s">
        <v>42</v>
      </c>
    </row>
    <row r="68" customFormat="false" ht="24.75" hidden="false" customHeight="true" outlineLevel="0" collapsed="false">
      <c r="A68" s="16" t="s">
        <v>43</v>
      </c>
    </row>
    <row r="69" customFormat="false" ht="31.5" hidden="false" customHeight="true" outlineLevel="0" collapsed="false">
      <c r="A69" s="16" t="s">
        <v>44</v>
      </c>
    </row>
    <row r="70" customFormat="false" ht="24.75" hidden="false" customHeight="true" outlineLevel="0" collapsed="false">
      <c r="A70" s="17" t="s">
        <v>45</v>
      </c>
    </row>
  </sheetData>
  <mergeCells count="3">
    <mergeCell ref="A5:A6"/>
    <mergeCell ref="A33:A34"/>
    <mergeCell ref="A56:A57"/>
  </mergeCells>
  <printOptions headings="false" gridLines="false" gridLinesSet="true" horizontalCentered="true" verticalCentered="false"/>
  <pageMargins left="0.7875" right="0.7875" top="0.7875" bottom="0.7875" header="0.511811023622047" footer="0.511811023622047"/>
  <pageSetup paperSize="1" scale="84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2" manualBreakCount="2">
    <brk id="28" man="true" max="16383" min="0"/>
    <brk id="51" man="true" max="16383" min="0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F28"/>
  <sheetViews>
    <sheetView showFormulas="false" showGridLines="false" showRowColHeaders="true" showZeros="true" rightToLeft="false" tabSelected="false" showOutlineSymbols="true" defaultGridColor="true" view="normal" topLeftCell="B1" colorId="64" zoomScale="80" zoomScaleNormal="80" zoomScalePageLayoutView="100" workbookViewId="0">
      <selection pane="topLeft" activeCell="P11" activeCellId="0" sqref="P11"/>
    </sheetView>
  </sheetViews>
  <sheetFormatPr defaultColWidth="11.43359375" defaultRowHeight="16.5" zeroHeight="false" outlineLevelRow="0" outlineLevelCol="0"/>
  <cols>
    <col collapsed="false" customWidth="true" hidden="false" outlineLevel="0" max="1" min="1" style="24" width="5.71"/>
    <col collapsed="false" customWidth="true" hidden="false" outlineLevel="0" max="2" min="2" style="24" width="39"/>
    <col collapsed="false" customWidth="true" hidden="false" outlineLevel="0" max="3" min="3" style="24" width="6.29"/>
    <col collapsed="false" customWidth="true" hidden="false" outlineLevel="0" max="15" min="4" style="24" width="5.71"/>
    <col collapsed="false" customWidth="true" hidden="false" outlineLevel="0" max="19" min="16" style="24" width="6.85"/>
    <col collapsed="false" customWidth="true" hidden="false" outlineLevel="0" max="25" min="20" style="24" width="5.71"/>
    <col collapsed="false" customWidth="true" hidden="false" outlineLevel="0" max="26" min="26" style="24" width="6.14"/>
    <col collapsed="false" customWidth="true" hidden="false" outlineLevel="0" max="30" min="27" style="24" width="5.14"/>
    <col collapsed="false" customWidth="true" hidden="false" outlineLevel="0" max="31" min="31" style="24" width="5.86"/>
    <col collapsed="false" customWidth="true" hidden="false" outlineLevel="0" max="32" min="32" style="24" width="11.85"/>
    <col collapsed="false" customWidth="false" hidden="false" outlineLevel="0" max="16384" min="33" style="24" width="11.43"/>
  </cols>
  <sheetData>
    <row r="1" s="32" customFormat="true" ht="12.75" hidden="false" customHeight="true" outlineLevel="0" collapsed="false">
      <c r="A1" s="25"/>
      <c r="B1" s="26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7"/>
      <c r="AA1" s="28"/>
      <c r="AB1" s="29"/>
      <c r="AC1" s="27"/>
      <c r="AD1" s="30"/>
      <c r="AE1" s="31"/>
    </row>
    <row r="2" s="32" customFormat="true" ht="12.75" hidden="false" customHeight="true" outlineLevel="0" collapsed="false">
      <c r="A2" s="33"/>
      <c r="B2" s="34"/>
      <c r="C2" s="35" t="str">
        <f aca="false">UPPER(CONCATENATE("ACTUACIÓN FISCAL SOBRE LA VERIFICACIÓN DE LA SINCERIDAD Y EXACTITUD DEL CONTENIDO DEL ACTA DE ENTREGA DE LA ",B10," ADSCRITA A LA ",D10," CORRESPONDIENTE AL SERVIDOR(A) PÚBLICO(A) SALIENTE CIUDADANO(A) ",K10,", TITULAR DE LA CÉDULA DE IDENTIDAD Nro. ",MID(K11, 6,LEN(K11)-5),""", DURANTE EL PERIODO DE GESTIÓN DEL ",TEXT(T11,"dd/mm/yyyy"), " AL ",TEXT(V11,"dd/mm/yyyy")))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6" t="s">
        <v>46</v>
      </c>
      <c r="AD2" s="36"/>
      <c r="AE2" s="36"/>
    </row>
    <row r="3" s="32" customFormat="true" ht="9.75" hidden="false" customHeight="true" outlineLevel="0" collapsed="false">
      <c r="A3" s="33"/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6"/>
      <c r="AD3" s="36"/>
      <c r="AE3" s="36"/>
    </row>
    <row r="4" s="32" customFormat="true" ht="16.5" hidden="false" customHeight="true" outlineLevel="0" collapsed="false">
      <c r="A4" s="37"/>
      <c r="B4" s="38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6"/>
      <c r="AD4" s="36"/>
      <c r="AE4" s="36"/>
    </row>
    <row r="5" s="32" customFormat="true" ht="15" hidden="false" customHeight="true" outlineLevel="0" collapsed="false">
      <c r="A5" s="39" t="s">
        <v>47</v>
      </c>
      <c r="B5" s="40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6"/>
      <c r="AD5" s="36"/>
      <c r="AE5" s="36"/>
    </row>
    <row r="6" s="32" customFormat="true" ht="17.25" hidden="false" customHeight="true" outlineLevel="0" collapsed="false">
      <c r="A6" s="39" t="str">
        <f aca="false">"Actuación: "&amp;+TEXT(T11,"dd/mm/yyyy")&amp;" AL "&amp;TEXT(V11,"dd/mm/yyyy")</f>
        <v>Actuación: ${periodo_desde} AL ${periodo_hasta}</v>
      </c>
      <c r="B6" s="41" t="s">
        <v>48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6"/>
      <c r="AD6" s="36"/>
      <c r="AE6" s="36"/>
    </row>
    <row r="7" s="32" customFormat="true" ht="20.25" hidden="false" customHeight="true" outlineLevel="0" collapsed="false">
      <c r="A7" s="42" t="s">
        <v>49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</row>
    <row r="8" s="32" customFormat="true" ht="10.5" hidden="false" customHeight="true" outlineLevel="0" collapsed="false">
      <c r="A8" s="43"/>
      <c r="B8" s="44"/>
      <c r="C8" s="44"/>
      <c r="D8" s="44"/>
      <c r="E8" s="44"/>
      <c r="F8" s="44"/>
      <c r="G8" s="44"/>
      <c r="H8" s="44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6"/>
    </row>
    <row r="9" s="49" customFormat="true" ht="18" hidden="false" customHeight="true" outlineLevel="0" collapsed="false">
      <c r="A9" s="43"/>
      <c r="B9" s="47" t="s">
        <v>50</v>
      </c>
      <c r="C9" s="47"/>
      <c r="D9" s="47" t="s">
        <v>51</v>
      </c>
      <c r="E9" s="47"/>
      <c r="F9" s="47"/>
      <c r="G9" s="47"/>
      <c r="H9" s="47"/>
      <c r="I9" s="47"/>
      <c r="J9" s="47"/>
      <c r="K9" s="47" t="s">
        <v>52</v>
      </c>
      <c r="L9" s="47"/>
      <c r="M9" s="47"/>
      <c r="N9" s="47"/>
      <c r="O9" s="47"/>
      <c r="P9" s="47" t="s">
        <v>53</v>
      </c>
      <c r="Q9" s="47"/>
      <c r="R9" s="47"/>
      <c r="S9" s="47"/>
      <c r="T9" s="47" t="s">
        <v>54</v>
      </c>
      <c r="U9" s="47"/>
      <c r="V9" s="47"/>
      <c r="W9" s="47"/>
      <c r="X9" s="48"/>
      <c r="Y9" s="48"/>
      <c r="Z9" s="48"/>
      <c r="AA9" s="48"/>
      <c r="AB9" s="48"/>
      <c r="AE9" s="50"/>
    </row>
    <row r="10" s="32" customFormat="true" ht="27" hidden="false" customHeight="true" outlineLevel="0" collapsed="false">
      <c r="A10" s="43"/>
      <c r="B10" s="51" t="s">
        <v>55</v>
      </c>
      <c r="C10" s="51"/>
      <c r="D10" s="51" t="s">
        <v>56</v>
      </c>
      <c r="E10" s="51"/>
      <c r="F10" s="51"/>
      <c r="G10" s="51"/>
      <c r="H10" s="51"/>
      <c r="I10" s="51"/>
      <c r="J10" s="51"/>
      <c r="K10" s="51" t="s">
        <v>57</v>
      </c>
      <c r="L10" s="51"/>
      <c r="M10" s="51"/>
      <c r="N10" s="51"/>
      <c r="O10" s="51"/>
      <c r="P10" s="51" t="s">
        <v>58</v>
      </c>
      <c r="Q10" s="51"/>
      <c r="R10" s="51"/>
      <c r="S10" s="51"/>
      <c r="T10" s="52" t="s">
        <v>59</v>
      </c>
      <c r="U10" s="52"/>
      <c r="V10" s="52" t="s">
        <v>60</v>
      </c>
      <c r="W10" s="52"/>
      <c r="X10" s="53"/>
      <c r="Y10" s="53"/>
      <c r="Z10" s="53"/>
      <c r="AA10" s="53"/>
      <c r="AB10" s="53"/>
      <c r="AC10" s="24"/>
      <c r="AE10" s="54"/>
    </row>
    <row r="11" s="32" customFormat="true" ht="20.25" hidden="false" customHeight="true" outlineLevel="0" collapsed="false">
      <c r="A11" s="43"/>
      <c r="B11" s="55"/>
      <c r="C11" s="55"/>
      <c r="D11" s="56"/>
      <c r="E11" s="55"/>
      <c r="F11" s="55"/>
      <c r="G11" s="55"/>
      <c r="H11" s="55"/>
      <c r="I11" s="57"/>
      <c r="J11" s="57"/>
      <c r="K11" s="58" t="s">
        <v>61</v>
      </c>
      <c r="L11" s="58"/>
      <c r="M11" s="58"/>
      <c r="N11" s="58"/>
      <c r="O11" s="58"/>
      <c r="P11" s="59" t="s">
        <v>62</v>
      </c>
      <c r="Q11" s="59"/>
      <c r="R11" s="59"/>
      <c r="S11" s="59"/>
      <c r="T11" s="60" t="s">
        <v>63</v>
      </c>
      <c r="U11" s="60"/>
      <c r="V11" s="60" t="s">
        <v>64</v>
      </c>
      <c r="W11" s="60"/>
      <c r="X11" s="45"/>
      <c r="Y11" s="45"/>
      <c r="Z11" s="45"/>
      <c r="AA11" s="45"/>
      <c r="AB11" s="45"/>
      <c r="AC11" s="45"/>
      <c r="AD11" s="45"/>
      <c r="AE11" s="46"/>
    </row>
    <row r="12" customFormat="false" ht="10.5" hidden="false" customHeight="true" outlineLevel="0" collapsed="false">
      <c r="A12" s="61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62"/>
    </row>
    <row r="13" s="66" customFormat="true" ht="19.5" hidden="false" customHeight="true" outlineLevel="0" collapsed="false">
      <c r="A13" s="63"/>
      <c r="B13" s="64" t="s">
        <v>65</v>
      </c>
      <c r="C13" s="65" t="s">
        <v>66</v>
      </c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 t="s">
        <v>67</v>
      </c>
      <c r="R13" s="65"/>
      <c r="S13" s="65"/>
      <c r="T13" s="65"/>
      <c r="U13" s="65"/>
      <c r="V13" s="65"/>
      <c r="W13" s="65"/>
      <c r="X13" s="65"/>
      <c r="Y13" s="65"/>
      <c r="Z13" s="65" t="s">
        <v>68</v>
      </c>
      <c r="AA13" s="65"/>
      <c r="AB13" s="65"/>
      <c r="AC13" s="65"/>
      <c r="AD13" s="65"/>
      <c r="AE13" s="65"/>
    </row>
    <row r="14" customFormat="false" ht="21.75" hidden="false" customHeight="true" outlineLevel="0" collapsed="false">
      <c r="A14" s="61"/>
      <c r="B14" s="64"/>
      <c r="C14" s="67" t="s">
        <v>69</v>
      </c>
      <c r="D14" s="68" t="s">
        <v>70</v>
      </c>
      <c r="E14" s="69" t="s">
        <v>71</v>
      </c>
      <c r="F14" s="68" t="s">
        <v>72</v>
      </c>
      <c r="G14" s="70" t="s">
        <v>73</v>
      </c>
      <c r="H14" s="69" t="s">
        <v>74</v>
      </c>
      <c r="I14" s="68" t="s">
        <v>75</v>
      </c>
      <c r="J14" s="70" t="s">
        <v>76</v>
      </c>
      <c r="K14" s="68" t="s">
        <v>77</v>
      </c>
      <c r="L14" s="68" t="s">
        <v>78</v>
      </c>
      <c r="M14" s="68" t="s">
        <v>79</v>
      </c>
      <c r="N14" s="68" t="s">
        <v>80</v>
      </c>
      <c r="O14" s="70" t="s">
        <v>81</v>
      </c>
      <c r="P14" s="71" t="s">
        <v>82</v>
      </c>
      <c r="Q14" s="67" t="s">
        <v>69</v>
      </c>
      <c r="R14" s="70" t="s">
        <v>70</v>
      </c>
      <c r="S14" s="70" t="s">
        <v>71</v>
      </c>
      <c r="T14" s="70" t="s">
        <v>74</v>
      </c>
      <c r="U14" s="70" t="s">
        <v>75</v>
      </c>
      <c r="V14" s="70" t="s">
        <v>76</v>
      </c>
      <c r="W14" s="70" t="s">
        <v>77</v>
      </c>
      <c r="X14" s="70" t="s">
        <v>78</v>
      </c>
      <c r="Y14" s="70" t="s">
        <v>79</v>
      </c>
      <c r="Z14" s="67" t="s">
        <v>69</v>
      </c>
      <c r="AA14" s="72" t="s">
        <v>70</v>
      </c>
      <c r="AB14" s="72" t="s">
        <v>71</v>
      </c>
      <c r="AC14" s="72" t="s">
        <v>72</v>
      </c>
      <c r="AD14" s="72" t="s">
        <v>73</v>
      </c>
      <c r="AE14" s="73" t="s">
        <v>74</v>
      </c>
    </row>
    <row r="15" s="80" customFormat="true" ht="21.75" hidden="false" customHeight="true" outlineLevel="0" collapsed="false">
      <c r="A15" s="74" t="s">
        <v>83</v>
      </c>
      <c r="B15" s="75"/>
      <c r="C15" s="76" t="n">
        <v>1</v>
      </c>
      <c r="D15" s="77" t="n">
        <v>0</v>
      </c>
      <c r="E15" s="77" t="n">
        <v>0</v>
      </c>
      <c r="F15" s="77" t="n">
        <v>0</v>
      </c>
      <c r="G15" s="78" t="s">
        <v>84</v>
      </c>
      <c r="H15" s="77" t="n">
        <v>0</v>
      </c>
      <c r="I15" s="77" t="n">
        <v>0</v>
      </c>
      <c r="J15" s="77" t="n">
        <v>0</v>
      </c>
      <c r="K15" s="77" t="n">
        <v>0</v>
      </c>
      <c r="L15" s="77" t="n">
        <v>0</v>
      </c>
      <c r="M15" s="77" t="n">
        <v>0</v>
      </c>
      <c r="N15" s="77" t="n">
        <v>0</v>
      </c>
      <c r="O15" s="77" t="n">
        <v>0</v>
      </c>
      <c r="P15" s="77" t="n">
        <v>0</v>
      </c>
      <c r="Q15" s="76" t="n">
        <v>1</v>
      </c>
      <c r="R15" s="77" t="n">
        <v>0</v>
      </c>
      <c r="S15" s="77" t="n">
        <v>0</v>
      </c>
      <c r="T15" s="77" t="n">
        <v>0</v>
      </c>
      <c r="U15" s="77" t="n">
        <v>0</v>
      </c>
      <c r="V15" s="77"/>
      <c r="W15" s="77" t="n">
        <v>0</v>
      </c>
      <c r="X15" s="77" t="n">
        <v>0</v>
      </c>
      <c r="Y15" s="77" t="n">
        <v>0</v>
      </c>
      <c r="Z15" s="76" t="n">
        <v>1</v>
      </c>
      <c r="AA15" s="79" t="s">
        <v>84</v>
      </c>
      <c r="AB15" s="79" t="s">
        <v>84</v>
      </c>
      <c r="AC15" s="79" t="s">
        <v>84</v>
      </c>
      <c r="AD15" s="79" t="s">
        <v>84</v>
      </c>
      <c r="AE15" s="79" t="s">
        <v>84</v>
      </c>
    </row>
    <row r="16" s="90" customFormat="true" ht="3" hidden="false" customHeight="true" outlineLevel="0" collapsed="false">
      <c r="A16" s="81"/>
      <c r="B16" s="82"/>
      <c r="C16" s="83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5"/>
      <c r="R16" s="85"/>
      <c r="S16" s="85"/>
      <c r="T16" s="85"/>
      <c r="U16" s="86" t="s">
        <v>85</v>
      </c>
      <c r="V16" s="85"/>
      <c r="W16" s="85"/>
      <c r="X16" s="85"/>
      <c r="Y16" s="85"/>
      <c r="Z16" s="87"/>
      <c r="AA16" s="88"/>
      <c r="AB16" s="88"/>
      <c r="AC16" s="88"/>
      <c r="AD16" s="88"/>
      <c r="AE16" s="89"/>
    </row>
    <row r="17" s="96" customFormat="true" ht="18" hidden="false" customHeight="true" outlineLevel="0" collapsed="false">
      <c r="A17" s="61"/>
      <c r="B17" s="91" t="s">
        <v>86</v>
      </c>
      <c r="C17" s="92"/>
      <c r="D17" s="93" t="n">
        <f aca="false">SUM(D15:D16)</f>
        <v>0</v>
      </c>
      <c r="E17" s="94" t="n">
        <v>0</v>
      </c>
      <c r="F17" s="93" t="n">
        <f aca="false">SUM(F15)</f>
        <v>0</v>
      </c>
      <c r="G17" s="93" t="n">
        <f aca="false">SUM(G15:G15)</f>
        <v>0</v>
      </c>
      <c r="H17" s="93" t="n">
        <f aca="false">SUM(H15:H15)</f>
        <v>0</v>
      </c>
      <c r="I17" s="93" t="n">
        <f aca="false">SUM(I15:I15)</f>
        <v>0</v>
      </c>
      <c r="J17" s="93" t="n">
        <f aca="false">SUM(J15:J15)</f>
        <v>0</v>
      </c>
      <c r="K17" s="93" t="n">
        <f aca="false">SUM(K15:K15)</f>
        <v>0</v>
      </c>
      <c r="L17" s="93" t="n">
        <f aca="false">SUM(L15)</f>
        <v>0</v>
      </c>
      <c r="M17" s="93" t="n">
        <f aca="false">SUM(M15:M15)</f>
        <v>0</v>
      </c>
      <c r="N17" s="94" t="n">
        <v>0</v>
      </c>
      <c r="O17" s="93" t="n">
        <f aca="false">SUM(O15:O15)</f>
        <v>0</v>
      </c>
      <c r="P17" s="93" t="n">
        <f aca="false">SUM(P15:P15)</f>
        <v>0</v>
      </c>
      <c r="Q17" s="93"/>
      <c r="R17" s="93" t="n">
        <f aca="false">SUM(R15:R15)</f>
        <v>0</v>
      </c>
      <c r="S17" s="93" t="n">
        <f aca="false">SUM(S15:S15)</f>
        <v>0</v>
      </c>
      <c r="T17" s="93" t="n">
        <f aca="false">SUM(T15:T15)</f>
        <v>0</v>
      </c>
      <c r="U17" s="93" t="n">
        <f aca="false">SUM(U15:U15)</f>
        <v>0</v>
      </c>
      <c r="V17" s="94"/>
      <c r="W17" s="94" t="n">
        <v>0</v>
      </c>
      <c r="X17" s="93" t="n">
        <f aca="false">SUM(X15:X15)</f>
        <v>0</v>
      </c>
      <c r="Y17" s="94" t="n">
        <v>0</v>
      </c>
      <c r="Z17" s="95"/>
      <c r="AA17" s="93" t="n">
        <f aca="false">SUM(AA15:AA15)</f>
        <v>0</v>
      </c>
      <c r="AB17" s="93" t="n">
        <f aca="false">SUM(AB15:AB15)</f>
        <v>0</v>
      </c>
      <c r="AC17" s="93" t="n">
        <f aca="false">SUM(AC15:AC15)</f>
        <v>0</v>
      </c>
      <c r="AD17" s="93" t="n">
        <f aca="false">SUM(AD15:AD15)</f>
        <v>0</v>
      </c>
      <c r="AE17" s="93" t="n">
        <f aca="false">SUM(AE15:AE15)</f>
        <v>0</v>
      </c>
    </row>
    <row r="18" customFormat="false" ht="18" hidden="false" customHeight="true" outlineLevel="0" collapsed="false">
      <c r="A18" s="61"/>
      <c r="B18" s="97" t="s">
        <v>87</v>
      </c>
      <c r="C18" s="98" t="s">
        <v>88</v>
      </c>
      <c r="D18" s="99" t="n">
        <f aca="false">D17*100/(1)</f>
        <v>0</v>
      </c>
      <c r="E18" s="99" t="n">
        <f aca="false">E17*100/(1)</f>
        <v>0</v>
      </c>
      <c r="F18" s="99" t="n">
        <f aca="false">F17*100/(1)</f>
        <v>0</v>
      </c>
      <c r="G18" s="99" t="n">
        <f aca="false">G17*100/(1)</f>
        <v>0</v>
      </c>
      <c r="H18" s="99" t="n">
        <f aca="false">H17*100/(1)</f>
        <v>0</v>
      </c>
      <c r="I18" s="99" t="n">
        <f aca="false">I17*100/(1)</f>
        <v>0</v>
      </c>
      <c r="J18" s="99" t="n">
        <f aca="false">J17*100/(1)</f>
        <v>0</v>
      </c>
      <c r="K18" s="99" t="n">
        <f aca="false">K17*100/(1)</f>
        <v>0</v>
      </c>
      <c r="L18" s="99" t="n">
        <f aca="false">L17*100/(1)</f>
        <v>0</v>
      </c>
      <c r="M18" s="99" t="n">
        <f aca="false">M17*100/(1)</f>
        <v>0</v>
      </c>
      <c r="N18" s="99" t="n">
        <f aca="false">N17*100/(1)</f>
        <v>0</v>
      </c>
      <c r="O18" s="99" t="n">
        <f aca="false">O17*100/(1)</f>
        <v>0</v>
      </c>
      <c r="P18" s="99" t="n">
        <f aca="false">P17*100/(1)</f>
        <v>0</v>
      </c>
      <c r="Q18" s="98" t="s">
        <v>88</v>
      </c>
      <c r="R18" s="99" t="n">
        <f aca="false">R17*100/(1)</f>
        <v>0</v>
      </c>
      <c r="S18" s="99" t="n">
        <f aca="false">S17*100/(1)</f>
        <v>0</v>
      </c>
      <c r="T18" s="99" t="n">
        <f aca="false">T17*100/(1)</f>
        <v>0</v>
      </c>
      <c r="U18" s="99" t="n">
        <f aca="false">U17*100/(1)</f>
        <v>0</v>
      </c>
      <c r="V18" s="99" t="n">
        <f aca="false">V17*100/(1)</f>
        <v>0</v>
      </c>
      <c r="W18" s="99" t="n">
        <f aca="false">W17*100/(1)</f>
        <v>0</v>
      </c>
      <c r="X18" s="99" t="n">
        <f aca="false">X17*100/(1)</f>
        <v>0</v>
      </c>
      <c r="Y18" s="99" t="n">
        <f aca="false">Y17*100/(1)</f>
        <v>0</v>
      </c>
      <c r="Z18" s="98" t="s">
        <v>88</v>
      </c>
      <c r="AA18" s="100" t="n">
        <f aca="false">AA17*100/(1)</f>
        <v>0</v>
      </c>
      <c r="AB18" s="100" t="n">
        <f aca="false">AB17*100/(1)</f>
        <v>0</v>
      </c>
      <c r="AC18" s="100" t="n">
        <f aca="false">AC17*100/(1)</f>
        <v>0</v>
      </c>
      <c r="AD18" s="100" t="n">
        <f aca="false">AD17*100/(1)</f>
        <v>0</v>
      </c>
      <c r="AE18" s="100" t="n">
        <f aca="false">AE17*100/(1)</f>
        <v>0</v>
      </c>
      <c r="AF18" s="101"/>
    </row>
    <row r="19" customFormat="false" ht="18" hidden="false" customHeight="true" outlineLevel="0" collapsed="false">
      <c r="A19" s="61"/>
      <c r="B19" s="102" t="s">
        <v>89</v>
      </c>
      <c r="C19" s="103" t="n">
        <v>0</v>
      </c>
      <c r="D19" s="99" t="n">
        <f aca="false">COUNTIF(D15:D15,0)</f>
        <v>1</v>
      </c>
      <c r="E19" s="99" t="n">
        <f aca="false">COUNTIF(E15:E15,0)</f>
        <v>1</v>
      </c>
      <c r="F19" s="99" t="n">
        <f aca="false">COUNTIF(F15:F15,0)</f>
        <v>1</v>
      </c>
      <c r="G19" s="99" t="n">
        <f aca="false">COUNTIF(G15:G15,0)</f>
        <v>0</v>
      </c>
      <c r="H19" s="99" t="n">
        <f aca="false">COUNTIF(H15:H15,0)</f>
        <v>1</v>
      </c>
      <c r="I19" s="99" t="n">
        <f aca="false">COUNTIF(I15:I15,0)</f>
        <v>1</v>
      </c>
      <c r="J19" s="99" t="n">
        <f aca="false">COUNTIF(J15:J15,0)</f>
        <v>1</v>
      </c>
      <c r="K19" s="99" t="n">
        <f aca="false">COUNTIF(K15:K15,0)</f>
        <v>1</v>
      </c>
      <c r="L19" s="99" t="n">
        <f aca="false">COUNTIF(L15:L15,0)</f>
        <v>1</v>
      </c>
      <c r="M19" s="99" t="n">
        <f aca="false">COUNTIF(M15:M15,0)</f>
        <v>1</v>
      </c>
      <c r="N19" s="99" t="n">
        <f aca="false">COUNTIF(N15:N15,0)</f>
        <v>1</v>
      </c>
      <c r="O19" s="99" t="n">
        <f aca="false">COUNTIF(O15:O15,0)</f>
        <v>1</v>
      </c>
      <c r="P19" s="99" t="n">
        <f aca="false">COUNTIF(P15:P15,0)</f>
        <v>1</v>
      </c>
      <c r="Q19" s="103" t="n">
        <v>0</v>
      </c>
      <c r="R19" s="99" t="n">
        <f aca="false">COUNTIF(R15:R15,0)</f>
        <v>1</v>
      </c>
      <c r="S19" s="99" t="n">
        <f aca="false">COUNTIF(S15:S15,0)</f>
        <v>1</v>
      </c>
      <c r="T19" s="99" t="n">
        <f aca="false">COUNTIF(T15:T15,0)</f>
        <v>1</v>
      </c>
      <c r="U19" s="99" t="n">
        <f aca="false">COUNTIF(U15:U15,0)</f>
        <v>1</v>
      </c>
      <c r="V19" s="99" t="n">
        <f aca="false">COUNTIF(V15:V15,0)</f>
        <v>0</v>
      </c>
      <c r="W19" s="99" t="n">
        <f aca="false">COUNTIF(W15:W15,0)</f>
        <v>1</v>
      </c>
      <c r="X19" s="99" t="n">
        <f aca="false">COUNTIF(X15:X15,0)</f>
        <v>1</v>
      </c>
      <c r="Y19" s="99" t="n">
        <f aca="false">COUNTIF(Y15:Y15,0)</f>
        <v>1</v>
      </c>
      <c r="Z19" s="103" t="n">
        <v>0</v>
      </c>
      <c r="AA19" s="104" t="n">
        <f aca="false">COUNTIF(AA15:AA15,0)</f>
        <v>0</v>
      </c>
      <c r="AB19" s="104" t="n">
        <f aca="false">COUNTIF(AB15:AB15,0)</f>
        <v>0</v>
      </c>
      <c r="AC19" s="104" t="n">
        <f aca="false">COUNTIF(AC15:AC15,0)</f>
        <v>0</v>
      </c>
      <c r="AD19" s="104" t="n">
        <f aca="false">COUNTIF(AD15:AD15,0)</f>
        <v>0</v>
      </c>
      <c r="AE19" s="104" t="n">
        <f aca="false">COUNTIF(AE15:AE15,0)</f>
        <v>0</v>
      </c>
      <c r="AF19" s="101"/>
    </row>
    <row r="20" customFormat="false" ht="18" hidden="false" customHeight="true" outlineLevel="0" collapsed="false">
      <c r="A20" s="61"/>
      <c r="B20" s="105" t="s">
        <v>90</v>
      </c>
      <c r="C20" s="106" t="n">
        <v>1</v>
      </c>
      <c r="D20" s="99" t="n">
        <f aca="false">COUNTIF(D15:D15,1)</f>
        <v>0</v>
      </c>
      <c r="E20" s="99" t="n">
        <f aca="false">COUNTIF(E15:E15,1)</f>
        <v>0</v>
      </c>
      <c r="F20" s="99" t="n">
        <f aca="false">COUNTIF(F15:F15,1)</f>
        <v>0</v>
      </c>
      <c r="G20" s="99" t="n">
        <f aca="false">COUNTIF(G15:G15,1)</f>
        <v>0</v>
      </c>
      <c r="H20" s="99" t="n">
        <f aca="false">COUNTIF(H15:H15,1)</f>
        <v>0</v>
      </c>
      <c r="I20" s="99" t="n">
        <f aca="false">COUNTIF(I15:I15,1)</f>
        <v>0</v>
      </c>
      <c r="J20" s="99" t="n">
        <f aca="false">COUNTIF(J15:J15,1)</f>
        <v>0</v>
      </c>
      <c r="K20" s="99" t="n">
        <f aca="false">COUNTIF(K15:K15,1)</f>
        <v>0</v>
      </c>
      <c r="L20" s="99" t="n">
        <f aca="false">COUNTIF(L15:L15,1)</f>
        <v>0</v>
      </c>
      <c r="M20" s="99" t="n">
        <f aca="false">COUNTIF(M15:M15,1)</f>
        <v>0</v>
      </c>
      <c r="N20" s="99" t="n">
        <f aca="false">COUNTIF(N15:N15,1)</f>
        <v>0</v>
      </c>
      <c r="O20" s="99" t="n">
        <f aca="false">COUNTIF(O15:O15,1)</f>
        <v>0</v>
      </c>
      <c r="P20" s="99" t="n">
        <f aca="false">COUNTIF(P15:P15,1)</f>
        <v>0</v>
      </c>
      <c r="Q20" s="106" t="n">
        <v>1</v>
      </c>
      <c r="R20" s="99" t="n">
        <f aca="false">COUNTIF(R15:R15,1)</f>
        <v>0</v>
      </c>
      <c r="S20" s="99" t="n">
        <f aca="false">COUNTIF(S15:S15,1)</f>
        <v>0</v>
      </c>
      <c r="T20" s="99" t="n">
        <f aca="false">COUNTIF(T15:T15,1)</f>
        <v>0</v>
      </c>
      <c r="U20" s="99" t="n">
        <f aca="false">COUNTIF(U15:U15,1)</f>
        <v>0</v>
      </c>
      <c r="V20" s="99" t="n">
        <f aca="false">COUNTIF(V15:V15,1)</f>
        <v>0</v>
      </c>
      <c r="W20" s="99" t="n">
        <f aca="false">COUNTIF(W15:W15,1)</f>
        <v>0</v>
      </c>
      <c r="X20" s="99" t="n">
        <f aca="false">COUNTIF(X15:X15,1)</f>
        <v>0</v>
      </c>
      <c r="Y20" s="99" t="n">
        <f aca="false">COUNTIF(Y15:Y15,1)</f>
        <v>0</v>
      </c>
      <c r="Z20" s="106" t="n">
        <v>1</v>
      </c>
      <c r="AA20" s="104" t="n">
        <f aca="false">COUNTIF(AA15:AA15,1)</f>
        <v>0</v>
      </c>
      <c r="AB20" s="104" t="n">
        <f aca="false">COUNTIF(AB15:AB15,1)</f>
        <v>0</v>
      </c>
      <c r="AC20" s="104" t="n">
        <f aca="false">COUNTIF(AC15:AC15,1)</f>
        <v>0</v>
      </c>
      <c r="AD20" s="104" t="n">
        <f aca="false">COUNTIF(AD15:AD15,1)</f>
        <v>0</v>
      </c>
      <c r="AE20" s="104" t="n">
        <f aca="false">COUNTIF(AE15:AE15,1)</f>
        <v>0</v>
      </c>
      <c r="AF20" s="101"/>
    </row>
    <row r="21" customFormat="false" ht="37.3" hidden="false" customHeight="true" outlineLevel="0" collapsed="false">
      <c r="A21" s="107"/>
      <c r="B21" s="108" t="s">
        <v>91</v>
      </c>
      <c r="C21" s="109" t="s">
        <v>92</v>
      </c>
      <c r="D21" s="99" t="n">
        <f aca="false">COUNTIF(D15:D15,"N/A")</f>
        <v>0</v>
      </c>
      <c r="E21" s="99" t="n">
        <f aca="false">COUNTIF(E15:E15,"N/A")</f>
        <v>0</v>
      </c>
      <c r="F21" s="99" t="n">
        <f aca="false">COUNTIF(F15:F15,"N/A")</f>
        <v>0</v>
      </c>
      <c r="G21" s="99" t="n">
        <f aca="false">COUNTIF(G15:G15,"N/A")</f>
        <v>1</v>
      </c>
      <c r="H21" s="99" t="n">
        <f aca="false">COUNTIF(H15:H15,"N/A")</f>
        <v>0</v>
      </c>
      <c r="I21" s="99" t="n">
        <f aca="false">COUNTIF(I15:I15,"N/A")</f>
        <v>0</v>
      </c>
      <c r="J21" s="99" t="n">
        <f aca="false">COUNTIF(J15:J15,"N/A")</f>
        <v>0</v>
      </c>
      <c r="K21" s="99" t="n">
        <f aca="false">COUNTIF(K15:K15,"N/A")</f>
        <v>0</v>
      </c>
      <c r="L21" s="99" t="n">
        <f aca="false">COUNTIF(L15:L15,"N/A")</f>
        <v>0</v>
      </c>
      <c r="M21" s="99" t="n">
        <f aca="false">COUNTIF(M15:M15,"N/A")</f>
        <v>0</v>
      </c>
      <c r="N21" s="99" t="n">
        <f aca="false">COUNTIF(N15:N15,"N/A")</f>
        <v>0</v>
      </c>
      <c r="O21" s="99" t="n">
        <f aca="false">COUNTIF(O15:O15,"N/A")</f>
        <v>0</v>
      </c>
      <c r="P21" s="99" t="n">
        <f aca="false">COUNTIF(P15:P15,"N/A")</f>
        <v>0</v>
      </c>
      <c r="Q21" s="109" t="s">
        <v>92</v>
      </c>
      <c r="R21" s="99" t="n">
        <f aca="false">COUNTIF(R15:R15,"N/A")</f>
        <v>0</v>
      </c>
      <c r="S21" s="99" t="n">
        <f aca="false">COUNTIF(S15:S15,"N/A")</f>
        <v>0</v>
      </c>
      <c r="T21" s="99" t="n">
        <f aca="false">COUNTIF(T15:T15,"N/A")</f>
        <v>0</v>
      </c>
      <c r="U21" s="99" t="n">
        <f aca="false">COUNTIF(U15:U15,"N/A")</f>
        <v>0</v>
      </c>
      <c r="V21" s="99" t="n">
        <f aca="false">COUNTIF(V15:V15,"N/A")</f>
        <v>0</v>
      </c>
      <c r="W21" s="99" t="n">
        <f aca="false">COUNTIF(W15:W15,"N/A")</f>
        <v>0</v>
      </c>
      <c r="X21" s="99" t="n">
        <f aca="false">COUNTIF(X15:X15,"N/A")</f>
        <v>0</v>
      </c>
      <c r="Y21" s="99" t="n">
        <f aca="false">COUNTIF(Y15:Y15,"N/A")</f>
        <v>0</v>
      </c>
      <c r="Z21" s="109" t="s">
        <v>92</v>
      </c>
      <c r="AA21" s="104" t="n">
        <f aca="false">COUNTIF(AA15:AA15,"N/A")</f>
        <v>1</v>
      </c>
      <c r="AB21" s="104" t="n">
        <f aca="false">COUNTIF(AB15:AB15,"N/A")</f>
        <v>1</v>
      </c>
      <c r="AC21" s="104" t="n">
        <f aca="false">COUNTIF(AC15:AC15,"N/A")</f>
        <v>1</v>
      </c>
      <c r="AD21" s="104" t="n">
        <f aca="false">COUNTIF(AD15:AD15,"N/A")</f>
        <v>1</v>
      </c>
      <c r="AE21" s="104" t="n">
        <f aca="false">COUNTIF(AE15:AE15,"N/A")</f>
        <v>1</v>
      </c>
      <c r="AF21" s="101"/>
    </row>
    <row r="22" s="32" customFormat="true" ht="24.75" hidden="false" customHeight="true" outlineLevel="0" collapsed="false">
      <c r="A22" s="110" t="s">
        <v>93</v>
      </c>
      <c r="B22" s="110"/>
      <c r="C22" s="110"/>
      <c r="D22" s="110"/>
      <c r="E22" s="110"/>
      <c r="F22" s="110"/>
      <c r="G22" s="110"/>
      <c r="H22" s="110"/>
      <c r="I22" s="111"/>
      <c r="J22" s="112" t="s">
        <v>94</v>
      </c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</row>
    <row r="23" s="32" customFormat="true" ht="24.75" hidden="false" customHeight="true" outlineLevel="0" collapsed="false">
      <c r="A23" s="114" t="s">
        <v>95</v>
      </c>
      <c r="B23" s="114"/>
      <c r="C23" s="115" t="s">
        <v>96</v>
      </c>
      <c r="D23" s="115"/>
      <c r="E23" s="115"/>
      <c r="F23" s="115"/>
      <c r="G23" s="115"/>
      <c r="H23" s="115"/>
      <c r="I23" s="115"/>
      <c r="J23" s="116" t="s">
        <v>97</v>
      </c>
      <c r="K23" s="116"/>
      <c r="L23" s="116"/>
      <c r="M23" s="116"/>
      <c r="N23" s="116"/>
      <c r="O23" s="115" t="s">
        <v>98</v>
      </c>
      <c r="P23" s="115"/>
      <c r="Q23" s="115"/>
      <c r="R23" s="115"/>
      <c r="S23" s="115"/>
      <c r="T23" s="115"/>
      <c r="U23" s="113"/>
      <c r="V23" s="117"/>
      <c r="W23" s="117"/>
      <c r="X23" s="117"/>
      <c r="Y23" s="117"/>
      <c r="Z23" s="117"/>
      <c r="AA23" s="117"/>
      <c r="AB23" s="117"/>
      <c r="AC23" s="117"/>
      <c r="AD23" s="113"/>
      <c r="AE23" s="113"/>
    </row>
    <row r="24" s="32" customFormat="true" ht="24.75" hidden="false" customHeight="true" outlineLevel="0" collapsed="false">
      <c r="A24" s="118" t="s">
        <v>99</v>
      </c>
      <c r="B24" s="118"/>
      <c r="C24" s="119" t="s">
        <v>100</v>
      </c>
      <c r="D24" s="119"/>
      <c r="E24" s="119"/>
      <c r="F24" s="119"/>
      <c r="G24" s="119"/>
      <c r="H24" s="119"/>
      <c r="I24" s="119"/>
      <c r="J24" s="116" t="s">
        <v>99</v>
      </c>
      <c r="K24" s="116"/>
      <c r="L24" s="116"/>
      <c r="M24" s="116"/>
      <c r="N24" s="116"/>
      <c r="O24" s="119" t="s">
        <v>101</v>
      </c>
      <c r="P24" s="119"/>
      <c r="Q24" s="119"/>
      <c r="R24" s="119"/>
      <c r="S24" s="119"/>
      <c r="T24" s="119"/>
      <c r="U24" s="113"/>
      <c r="V24" s="117"/>
      <c r="W24" s="117"/>
      <c r="X24" s="117"/>
      <c r="Y24" s="117"/>
      <c r="Z24" s="117"/>
      <c r="AA24" s="117"/>
      <c r="AB24" s="117"/>
      <c r="AC24" s="117"/>
      <c r="AD24" s="113"/>
      <c r="AE24" s="113"/>
    </row>
    <row r="25" s="32" customFormat="true" ht="24.75" hidden="false" customHeight="true" outlineLevel="0" collapsed="false">
      <c r="A25" s="120" t="s">
        <v>102</v>
      </c>
      <c r="B25" s="120"/>
      <c r="C25" s="121"/>
      <c r="D25" s="121"/>
      <c r="E25" s="121"/>
      <c r="F25" s="121"/>
      <c r="G25" s="121"/>
      <c r="H25" s="121"/>
      <c r="I25" s="121"/>
      <c r="J25" s="122" t="s">
        <v>102</v>
      </c>
      <c r="K25" s="122"/>
      <c r="L25" s="122"/>
      <c r="M25" s="122"/>
      <c r="N25" s="122"/>
      <c r="O25" s="121"/>
      <c r="P25" s="121"/>
      <c r="Q25" s="121"/>
      <c r="R25" s="121"/>
      <c r="S25" s="121"/>
      <c r="T25" s="121"/>
      <c r="U25" s="113"/>
      <c r="V25" s="117"/>
      <c r="W25" s="117"/>
      <c r="X25" s="117"/>
      <c r="Y25" s="117"/>
      <c r="Z25" s="117"/>
      <c r="AA25" s="117"/>
      <c r="AB25" s="117"/>
      <c r="AC25" s="117"/>
      <c r="AD25" s="113"/>
      <c r="AE25" s="113"/>
    </row>
    <row r="26" customFormat="false" ht="16.5" hidden="false" customHeight="false" outlineLevel="0" collapsed="false">
      <c r="N26" s="123"/>
      <c r="O26" s="123"/>
      <c r="P26" s="123"/>
      <c r="Q26" s="123"/>
      <c r="R26" s="123"/>
      <c r="S26" s="123"/>
      <c r="T26" s="123"/>
      <c r="V26" s="123"/>
      <c r="W26" s="123"/>
    </row>
    <row r="27" customFormat="false" ht="16.5" hidden="false" customHeight="false" outlineLevel="0" collapsed="false">
      <c r="N27" s="123"/>
      <c r="O27" s="123"/>
      <c r="P27" s="123"/>
      <c r="Q27" s="123"/>
      <c r="R27" s="123"/>
      <c r="S27" s="123"/>
      <c r="T27" s="123"/>
      <c r="U27" s="123"/>
      <c r="V27" s="123"/>
      <c r="W27" s="123"/>
    </row>
    <row r="28" customFormat="false" ht="16.5" hidden="false" customHeight="false" outlineLevel="0" collapsed="false">
      <c r="N28" s="123"/>
      <c r="O28" s="123"/>
      <c r="P28" s="123"/>
      <c r="Q28" s="123"/>
      <c r="R28" s="123"/>
      <c r="S28" s="123"/>
      <c r="T28" s="123"/>
      <c r="U28" s="123"/>
      <c r="V28" s="123"/>
      <c r="W28" s="123"/>
    </row>
  </sheetData>
  <mergeCells count="36">
    <mergeCell ref="C2:AB6"/>
    <mergeCell ref="AC2:AE6"/>
    <mergeCell ref="A7:AE7"/>
    <mergeCell ref="B9:C9"/>
    <mergeCell ref="D9:J9"/>
    <mergeCell ref="K9:O9"/>
    <mergeCell ref="P9:S9"/>
    <mergeCell ref="T9:W9"/>
    <mergeCell ref="B10:C10"/>
    <mergeCell ref="D10:J10"/>
    <mergeCell ref="K10:O10"/>
    <mergeCell ref="P10:S10"/>
    <mergeCell ref="T10:U10"/>
    <mergeCell ref="V10:W10"/>
    <mergeCell ref="K11:O11"/>
    <mergeCell ref="P11:S11"/>
    <mergeCell ref="T11:U11"/>
    <mergeCell ref="V11:W11"/>
    <mergeCell ref="B13:B14"/>
    <mergeCell ref="C13:P13"/>
    <mergeCell ref="Q13:Y13"/>
    <mergeCell ref="Z13:AE13"/>
    <mergeCell ref="A22:H22"/>
    <mergeCell ref="J22:T22"/>
    <mergeCell ref="A23:B23"/>
    <mergeCell ref="C23:I23"/>
    <mergeCell ref="J23:N23"/>
    <mergeCell ref="O23:T23"/>
    <mergeCell ref="A24:B24"/>
    <mergeCell ref="C24:I24"/>
    <mergeCell ref="J24:N24"/>
    <mergeCell ref="O24:T24"/>
    <mergeCell ref="A25:B25"/>
    <mergeCell ref="C25:I25"/>
    <mergeCell ref="J25:N25"/>
    <mergeCell ref="O25:T25"/>
  </mergeCells>
  <conditionalFormatting sqref="R15:Y15">
    <cfRule type="cellIs" priority="2" operator="equal" aboveAverage="0" equalAverage="0" bottom="0" percent="0" rank="0" text="" dxfId="0">
      <formula>1</formula>
    </cfRule>
    <cfRule type="cellIs" priority="3" operator="equal" aboveAverage="0" equalAverage="0" bottom="0" percent="0" rank="0" text="" dxfId="1">
      <formula>1</formula>
    </cfRule>
    <cfRule type="cellIs" priority="4" operator="equal" aboveAverage="0" equalAverage="0" bottom="0" percent="0" rank="0" text="" dxfId="2">
      <formula>1</formula>
    </cfRule>
    <cfRule type="cellIs" priority="5" operator="equal" aboveAverage="0" equalAverage="0" bottom="0" percent="0" rank="0" text="" dxfId="3">
      <formula>0</formula>
    </cfRule>
  </conditionalFormatting>
  <conditionalFormatting sqref="H15:P15">
    <cfRule type="cellIs" priority="6" operator="equal" aboveAverage="0" equalAverage="0" bottom="0" percent="0" rank="0" text="" dxfId="4">
      <formula>1</formula>
    </cfRule>
    <cfRule type="cellIs" priority="7" operator="equal" aboveAverage="0" equalAverage="0" bottom="0" percent="0" rank="0" text="" dxfId="5">
      <formula>1</formula>
    </cfRule>
    <cfRule type="cellIs" priority="8" operator="equal" aboveAverage="0" equalAverage="0" bottom="0" percent="0" rank="0" text="" dxfId="6">
      <formula>1</formula>
    </cfRule>
    <cfRule type="cellIs" priority="9" operator="equal" aboveAverage="0" equalAverage="0" bottom="0" percent="0" rank="0" text="" dxfId="7">
      <formula>0</formula>
    </cfRule>
  </conditionalFormatting>
  <conditionalFormatting sqref="E15:F15">
    <cfRule type="cellIs" priority="10" operator="equal" aboveAverage="0" equalAverage="0" bottom="0" percent="0" rank="0" text="" dxfId="8">
      <formula>1</formula>
    </cfRule>
    <cfRule type="cellIs" priority="11" operator="equal" aboveAverage="0" equalAverage="0" bottom="0" percent="0" rank="0" text="" dxfId="9">
      <formula>1</formula>
    </cfRule>
    <cfRule type="cellIs" priority="12" operator="equal" aboveAverage="0" equalAverage="0" bottom="0" percent="0" rank="0" text="" dxfId="10">
      <formula>1</formula>
    </cfRule>
    <cfRule type="cellIs" priority="13" operator="equal" aboveAverage="0" equalAverage="0" bottom="0" percent="0" rank="0" text="" dxfId="11">
      <formula>0</formula>
    </cfRule>
  </conditionalFormatting>
  <conditionalFormatting sqref="D15">
    <cfRule type="cellIs" priority="14" operator="equal" aboveAverage="0" equalAverage="0" bottom="0" percent="0" rank="0" text="" dxfId="12">
      <formula>1</formula>
    </cfRule>
    <cfRule type="cellIs" priority="15" operator="equal" aboveAverage="0" equalAverage="0" bottom="0" percent="0" rank="0" text="" dxfId="13">
      <formula>1</formula>
    </cfRule>
    <cfRule type="cellIs" priority="16" operator="equal" aboveAverage="0" equalAverage="0" bottom="0" percent="0" rank="0" text="" dxfId="14">
      <formula>1</formula>
    </cfRule>
    <cfRule type="cellIs" priority="17" operator="equal" aboveAverage="0" equalAverage="0" bottom="0" percent="0" rank="0" text="" dxfId="15">
      <formula>0</formula>
    </cfRule>
  </conditionalFormatting>
  <conditionalFormatting sqref="H16 R16">
    <cfRule type="cellIs" priority="18" operator="equal" aboveAverage="0" equalAverage="0" bottom="0" percent="0" rank="0" text="" dxfId="16">
      <formula>1</formula>
    </cfRule>
    <cfRule type="cellIs" priority="19" operator="equal" aboveAverage="0" equalAverage="0" bottom="0" percent="0" rank="0" text="" dxfId="17">
      <formula>1</formula>
    </cfRule>
    <cfRule type="cellIs" priority="20" operator="equal" aboveAverage="0" equalAverage="0" bottom="0" percent="0" rank="0" text="" dxfId="18">
      <formula>0</formula>
    </cfRule>
  </conditionalFormatting>
  <conditionalFormatting sqref="F16 H16:P16 R16:Y16">
    <cfRule type="cellIs" priority="21" operator="equal" aboveAverage="0" equalAverage="0" bottom="0" percent="0" rank="0" text="" dxfId="19">
      <formula>1</formula>
    </cfRule>
    <cfRule type="cellIs" priority="22" operator="equal" aboveAverage="0" equalAverage="0" bottom="0" percent="0" rank="0" text="" dxfId="20">
      <formula>0</formula>
    </cfRule>
    <cfRule type="cellIs" priority="23" operator="equal" aboveAverage="0" equalAverage="0" bottom="0" percent="0" rank="0" text="" dxfId="21">
      <formula>1</formula>
    </cfRule>
  </conditionalFormatting>
  <conditionalFormatting sqref="D16 F16 H16:P16 R16:Y16">
    <cfRule type="cellIs" priority="24" operator="equal" aboveAverage="0" equalAverage="0" bottom="0" percent="0" rank="0" text="" dxfId="22">
      <formula>1</formula>
    </cfRule>
    <cfRule type="cellIs" priority="25" operator="equal" aboveAverage="0" equalAverage="0" bottom="0" percent="0" rank="0" text="" dxfId="23">
      <formula>1</formula>
    </cfRule>
    <cfRule type="cellIs" priority="26" operator="equal" aboveAverage="0" equalAverage="0" bottom="0" percent="0" rank="0" text="" dxfId="24">
      <formula>1</formula>
    </cfRule>
    <cfRule type="cellIs" priority="27" operator="equal" aboveAverage="0" equalAverage="0" bottom="0" percent="0" rank="0" text="" dxfId="25">
      <formula>0</formula>
    </cfRule>
  </conditionalFormatting>
  <conditionalFormatting sqref="AA17:AE17 R17:Y17 D17:P17">
    <cfRule type="cellIs" priority="28" operator="between" aboveAverage="0" equalAverage="0" bottom="0" percent="0" rank="0" text="" dxfId="26">
      <formula>0</formula>
      <formula>1</formula>
    </cfRule>
  </conditionalFormatting>
  <printOptions headings="false" gridLines="false" gridLinesSet="true" horizontalCentered="false" verticalCentered="false"/>
  <pageMargins left="0.315277777777778" right="0.708333333333333" top="0.747916666666667" bottom="0.747916666666667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4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ColWidth="11.43359375" defaultRowHeight="12.75" zeroHeight="false" outlineLevelRow="0" outlineLevelCol="0"/>
  <cols>
    <col collapsed="false" customWidth="true" hidden="false" outlineLevel="0" max="1" min="1" style="124" width="6.71"/>
    <col collapsed="false" customWidth="true" hidden="false" outlineLevel="0" max="2" min="2" style="125" width="7.29"/>
    <col collapsed="false" customWidth="true" hidden="false" outlineLevel="0" max="3" min="3" style="126" width="52.71"/>
    <col collapsed="false" customWidth="true" hidden="false" outlineLevel="0" max="4" min="4" style="126" width="20.57"/>
    <col collapsed="false" customWidth="true" hidden="false" outlineLevel="0" max="6" min="5" style="126" width="10"/>
    <col collapsed="false" customWidth="true" hidden="false" outlineLevel="0" max="7" min="7" style="126" width="14.19"/>
    <col collapsed="false" customWidth="true" hidden="false" outlineLevel="0" max="8" min="8" style="126" width="10"/>
    <col collapsed="false" customWidth="false" hidden="false" outlineLevel="0" max="16384" min="9" style="126" width="11.43"/>
  </cols>
  <sheetData>
    <row r="1" customFormat="false" ht="20.25" hidden="false" customHeight="true" outlineLevel="0" collapsed="false">
      <c r="B1" s="127"/>
      <c r="C1" s="127"/>
      <c r="D1" s="128" t="str">
        <f aca="false"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  <c r="E1" s="128"/>
      <c r="F1" s="128"/>
      <c r="G1" s="128"/>
      <c r="H1" s="129" t="s">
        <v>103</v>
      </c>
    </row>
    <row r="2" customFormat="false" ht="17.25" hidden="false" customHeight="true" outlineLevel="0" collapsed="false">
      <c r="B2" s="127"/>
      <c r="C2" s="127"/>
      <c r="D2" s="128"/>
      <c r="E2" s="128"/>
      <c r="F2" s="128"/>
      <c r="G2" s="128"/>
      <c r="H2" s="129"/>
    </row>
    <row r="3" customFormat="false" ht="18" hidden="false" customHeight="true" outlineLevel="0" collapsed="false">
      <c r="B3" s="127"/>
      <c r="C3" s="127"/>
      <c r="D3" s="128"/>
      <c r="E3" s="128"/>
      <c r="F3" s="128"/>
      <c r="G3" s="128"/>
      <c r="H3" s="129"/>
    </row>
    <row r="4" customFormat="false" ht="17.25" hidden="false" customHeight="true" outlineLevel="0" collapsed="false">
      <c r="B4" s="130" t="str">
        <f aca="false">+CEDULA!A5</f>
        <v>Organismo Auditado: CANTV</v>
      </c>
      <c r="C4" s="130"/>
      <c r="D4" s="128"/>
      <c r="E4" s="128"/>
      <c r="F4" s="128"/>
      <c r="G4" s="128"/>
      <c r="H4" s="129"/>
    </row>
    <row r="5" customFormat="false" ht="27" hidden="false" customHeight="true" outlineLevel="0" collapsed="false">
      <c r="B5" s="130" t="str">
        <f aca="false">+CEDULA!A6</f>
        <v>Actuación: ${periodo_desde} AL ${periodo_hasta}</v>
      </c>
      <c r="C5" s="130"/>
      <c r="D5" s="128"/>
      <c r="E5" s="128"/>
      <c r="F5" s="128"/>
      <c r="G5" s="128"/>
      <c r="H5" s="129"/>
    </row>
    <row r="6" customFormat="false" ht="14.25" hidden="false" customHeight="true" outlineLevel="0" collapsed="false">
      <c r="B6" s="131" t="s">
        <v>104</v>
      </c>
      <c r="C6" s="131"/>
      <c r="D6" s="131"/>
      <c r="E6" s="131"/>
      <c r="F6" s="131"/>
      <c r="G6" s="131"/>
      <c r="H6" s="131"/>
    </row>
    <row r="7" customFormat="false" ht="32.25" hidden="false" customHeight="true" outlineLevel="0" collapsed="false">
      <c r="B7" s="132" t="s">
        <v>105</v>
      </c>
      <c r="C7" s="132"/>
      <c r="D7" s="133" t="str">
        <f aca="false">+CEDULA!B10 &amp; " adscrita a la " &amp; +CEDULA!D10</f>
        <v>${unidad_entrega} adscrita a la ${unidad_adcripta}</v>
      </c>
      <c r="E7" s="133"/>
      <c r="F7" s="133"/>
      <c r="G7" s="133"/>
      <c r="H7" s="133"/>
    </row>
    <row r="8" customFormat="false" ht="21" hidden="false" customHeight="true" outlineLevel="0" collapsed="false">
      <c r="B8" s="134" t="s">
        <v>106</v>
      </c>
      <c r="C8" s="135" t="s">
        <v>107</v>
      </c>
      <c r="D8" s="135"/>
      <c r="E8" s="135" t="s">
        <v>108</v>
      </c>
      <c r="F8" s="135"/>
      <c r="G8" s="135"/>
      <c r="H8" s="135"/>
    </row>
    <row r="9" customFormat="false" ht="69.75" hidden="false" customHeight="true" outlineLevel="0" collapsed="false">
      <c r="B9" s="136" t="n">
        <v>0</v>
      </c>
      <c r="C9" s="137" t="str">
        <f aca="false">"De la evaluación practicada al contenido del Acta de Entrega de la " &amp; +CEDULA!B10 &amp; ", correspondiente a la servidor(a) público(a) saliente, " &amp; +CEDULA!K10 &amp;", titular de la cédula de identidad Nro." &amp; +CEDULA!K11 &amp;"; se determinó lo siguiente:"</f>
        <v>De la evaluación practicada al contenido del Acta de Entrega de la ${unidad_entrega}, correspondiente a la servidor(a) público(a) saliente, ${nombre_saliente}, titular de la cédula de identidad Nro.C.I ${cedula_saliente}; se determinó lo siguiente:</v>
      </c>
      <c r="D9" s="137"/>
      <c r="E9" s="138" t="s">
        <v>109</v>
      </c>
      <c r="F9" s="138" t="s">
        <v>110</v>
      </c>
      <c r="G9" s="138" t="s">
        <v>111</v>
      </c>
      <c r="H9" s="138" t="s">
        <v>112</v>
      </c>
    </row>
    <row r="10" customFormat="false" ht="33.75" hidden="false" customHeight="true" outlineLevel="0" collapsed="false">
      <c r="B10" s="139"/>
      <c r="C10" s="134" t="s">
        <v>113</v>
      </c>
      <c r="D10" s="140" t="s">
        <v>114</v>
      </c>
      <c r="E10" s="138"/>
      <c r="F10" s="138"/>
      <c r="G10" s="138"/>
      <c r="H10" s="138"/>
    </row>
    <row r="11" customFormat="false" ht="39.75" hidden="false" customHeight="true" outlineLevel="0" collapsed="false">
      <c r="B11" s="139" t="n">
        <v>1</v>
      </c>
      <c r="C11" s="141" t="s">
        <v>115</v>
      </c>
      <c r="D11" s="142" t="n">
        <f aca="false">+CEDULA!D18</f>
        <v>0</v>
      </c>
      <c r="E11" s="143" t="str">
        <f aca="false">IF($D11=100,"X","")</f>
        <v/>
      </c>
      <c r="F11" s="144" t="str">
        <f aca="false">IF($D11=0,IF(CEDULA!D16="N/A","","X"),"")</f>
        <v>X</v>
      </c>
      <c r="G11" s="145" t="str">
        <f aca="false">IF(CEDULA!D16="N/A","N/A","")</f>
        <v/>
      </c>
      <c r="H11" s="146"/>
    </row>
    <row r="12" customFormat="false" ht="16.5" hidden="false" customHeight="true" outlineLevel="0" collapsed="false">
      <c r="B12" s="139" t="n">
        <v>2</v>
      </c>
      <c r="C12" s="141" t="s">
        <v>116</v>
      </c>
      <c r="D12" s="142" t="n">
        <f aca="false">+CEDULA!E18</f>
        <v>0</v>
      </c>
      <c r="E12" s="143" t="str">
        <f aca="false">IF($D12=100,"X","")</f>
        <v/>
      </c>
      <c r="F12" s="144" t="str">
        <f aca="false">IF($D12=0,IF(CEDULA!E16="N/A","","X"),"")</f>
        <v>X</v>
      </c>
      <c r="G12" s="145" t="str">
        <f aca="false">IF(CEDULA!E16="N/A","N/A","")</f>
        <v/>
      </c>
      <c r="H12" s="146"/>
    </row>
    <row r="13" customFormat="false" ht="27.75" hidden="false" customHeight="true" outlineLevel="0" collapsed="false">
      <c r="B13" s="139" t="n">
        <v>3</v>
      </c>
      <c r="C13" s="141" t="s">
        <v>117</v>
      </c>
      <c r="D13" s="142" t="n">
        <f aca="false">+CEDULA!F18</f>
        <v>0</v>
      </c>
      <c r="E13" s="143" t="str">
        <f aca="false">IF($D13=100,"X","")</f>
        <v/>
      </c>
      <c r="F13" s="144" t="str">
        <f aca="false">IF($D13=0,IF(CEDULA!F16="N/A","","X"),"")</f>
        <v>X</v>
      </c>
      <c r="G13" s="145" t="str">
        <f aca="false">IF(CEDULA!F16="N/A","N/A","")</f>
        <v/>
      </c>
      <c r="H13" s="146"/>
    </row>
    <row r="14" customFormat="false" ht="51.75" hidden="false" customHeight="true" outlineLevel="0" collapsed="false">
      <c r="B14" s="139" t="n">
        <v>4</v>
      </c>
      <c r="C14" s="147" t="s">
        <v>118</v>
      </c>
      <c r="D14" s="142" t="n">
        <v>0</v>
      </c>
      <c r="E14" s="143" t="str">
        <f aca="false">IF($D14=100,"X","")</f>
        <v/>
      </c>
      <c r="F14" s="144" t="str">
        <f aca="false">IF($D14=0,IF(CEDULA!G16="N/A","","X"),"")</f>
        <v>X</v>
      </c>
      <c r="G14" s="145" t="str">
        <f aca="false">IF(CEDULA!G16="N/A","N/A","")</f>
        <v/>
      </c>
      <c r="H14" s="148"/>
    </row>
    <row r="15" customFormat="false" ht="17.25" hidden="false" customHeight="true" outlineLevel="0" collapsed="false">
      <c r="B15" s="139" t="n">
        <v>5</v>
      </c>
      <c r="C15" s="141" t="s">
        <v>119</v>
      </c>
      <c r="D15" s="142" t="n">
        <f aca="false">+CEDULA!H18</f>
        <v>0</v>
      </c>
      <c r="E15" s="143" t="str">
        <f aca="false">IF($D15=100,"X","")</f>
        <v/>
      </c>
      <c r="F15" s="144" t="str">
        <f aca="false">IF($D15=0,IF(CEDULA!H16="N/A","","X"),"")</f>
        <v>X</v>
      </c>
      <c r="G15" s="145" t="str">
        <f aca="false">IF(CEDULA!H16="N/A","N/A","")</f>
        <v/>
      </c>
      <c r="H15" s="146"/>
    </row>
    <row r="16" customFormat="false" ht="15" hidden="false" customHeight="true" outlineLevel="0" collapsed="false">
      <c r="B16" s="139" t="n">
        <v>6</v>
      </c>
      <c r="C16" s="147" t="s">
        <v>120</v>
      </c>
      <c r="D16" s="142" t="n">
        <f aca="false">+CEDULA!I18</f>
        <v>0</v>
      </c>
      <c r="E16" s="143" t="str">
        <f aca="false">IF($D16=100,"X","")</f>
        <v/>
      </c>
      <c r="F16" s="144" t="str">
        <f aca="false">IF($D16=0,IF(CEDULA!I16="N/A","","X"),"")</f>
        <v>X</v>
      </c>
      <c r="G16" s="145" t="str">
        <f aca="false">IF(CEDULA!I16="N/A","N/A","")</f>
        <v/>
      </c>
      <c r="H16" s="148"/>
    </row>
    <row r="17" customFormat="false" ht="24.75" hidden="false" customHeight="true" outlineLevel="0" collapsed="false">
      <c r="B17" s="139" t="n">
        <v>7</v>
      </c>
      <c r="C17" s="141" t="s">
        <v>121</v>
      </c>
      <c r="D17" s="142" t="n">
        <f aca="false">+CEDULA!J18</f>
        <v>0</v>
      </c>
      <c r="E17" s="143" t="str">
        <f aca="false">IF($D17=100,"X","")</f>
        <v/>
      </c>
      <c r="F17" s="144" t="str">
        <f aca="false">IF($D17=0,IF(CEDULA!J16="N/A","","X"),"")</f>
        <v>X</v>
      </c>
      <c r="G17" s="145" t="str">
        <f aca="false">IF(CEDULA!I17="N/A","N/A","")</f>
        <v/>
      </c>
      <c r="H17" s="148"/>
    </row>
    <row r="18" customFormat="false" ht="15" hidden="false" customHeight="true" outlineLevel="0" collapsed="false">
      <c r="B18" s="139" t="n">
        <v>8</v>
      </c>
      <c r="C18" s="147" t="s">
        <v>122</v>
      </c>
      <c r="D18" s="142" t="n">
        <f aca="false">+CEDULA!K18</f>
        <v>0</v>
      </c>
      <c r="E18" s="143" t="str">
        <f aca="false">IF($D18=100,"X","")</f>
        <v/>
      </c>
      <c r="F18" s="144" t="str">
        <f aca="false">IF($D18=0,IF(CEDULA!K16="N/A","","X"),"")</f>
        <v>X</v>
      </c>
      <c r="G18" s="145" t="str">
        <f aca="false">IF(CEDULA!K16="N/A","N/A","")</f>
        <v/>
      </c>
      <c r="H18" s="148"/>
    </row>
    <row r="19" customFormat="false" ht="15" hidden="false" customHeight="true" outlineLevel="0" collapsed="false">
      <c r="B19" s="139" t="n">
        <v>9</v>
      </c>
      <c r="C19" s="141" t="s">
        <v>123</v>
      </c>
      <c r="D19" s="142" t="n">
        <f aca="false">+CEDULA!L18</f>
        <v>0</v>
      </c>
      <c r="E19" s="143" t="str">
        <f aca="false">IF($D19=100,"X","")</f>
        <v/>
      </c>
      <c r="F19" s="144" t="str">
        <f aca="false">IF($D19=0,IF(CEDULA!L16="N/A","","X"),"")</f>
        <v>X</v>
      </c>
      <c r="G19" s="145" t="str">
        <f aca="false">IF(CEDULA!L16="N/A","N/A","")</f>
        <v/>
      </c>
      <c r="H19" s="146"/>
    </row>
    <row r="20" customFormat="false" ht="15" hidden="false" customHeight="true" outlineLevel="0" collapsed="false">
      <c r="B20" s="139" t="n">
        <v>10</v>
      </c>
      <c r="C20" s="141" t="s">
        <v>124</v>
      </c>
      <c r="D20" s="142" t="n">
        <f aca="false">+CEDULA!M18</f>
        <v>0</v>
      </c>
      <c r="E20" s="143" t="str">
        <f aca="false">IF($D20=100,"X","")</f>
        <v/>
      </c>
      <c r="F20" s="144" t="str">
        <f aca="false">IF($D20=0,IF(CEDULA!M16="N/A","","X"),"")</f>
        <v>X</v>
      </c>
      <c r="G20" s="145" t="str">
        <f aca="false">IF(CEDULA!M16="N/A","N/A","")</f>
        <v/>
      </c>
      <c r="H20" s="146"/>
    </row>
    <row r="21" customFormat="false" ht="15" hidden="false" customHeight="true" outlineLevel="0" collapsed="false">
      <c r="B21" s="139"/>
      <c r="C21" s="149" t="s">
        <v>125</v>
      </c>
      <c r="D21" s="150" t="n">
        <f aca="false">+CEDULA!M18</f>
        <v>0</v>
      </c>
      <c r="E21" s="151"/>
      <c r="F21" s="152"/>
      <c r="G21" s="153"/>
      <c r="H21" s="154"/>
    </row>
    <row r="22" customFormat="false" ht="18" hidden="false" customHeight="true" outlineLevel="0" collapsed="false">
      <c r="B22" s="139" t="n">
        <v>11</v>
      </c>
      <c r="C22" s="141" t="s">
        <v>126</v>
      </c>
      <c r="D22" s="142" t="n">
        <f aca="false">+CEDULA!N18</f>
        <v>0</v>
      </c>
      <c r="E22" s="143" t="str">
        <f aca="false">IF($D22=100,"X","")</f>
        <v/>
      </c>
      <c r="F22" s="144" t="str">
        <f aca="false">IF($D22=0,IF(CEDULA!N16="N/A","","X"),"")</f>
        <v>X</v>
      </c>
      <c r="G22" s="145" t="str">
        <f aca="false">IF(CEDULA!N16="N/A","N/A","")</f>
        <v/>
      </c>
      <c r="H22" s="146"/>
    </row>
    <row r="23" customFormat="false" ht="15" hidden="false" customHeight="true" outlineLevel="0" collapsed="false">
      <c r="B23" s="139" t="n">
        <v>13</v>
      </c>
      <c r="C23" s="141" t="s">
        <v>127</v>
      </c>
      <c r="D23" s="142" t="n">
        <f aca="false">+CEDULA!O18</f>
        <v>0</v>
      </c>
      <c r="E23" s="143" t="str">
        <f aca="false">IF($D23=100,"X","")</f>
        <v/>
      </c>
      <c r="F23" s="144" t="str">
        <f aca="false">IF($D23=0,IF(CEDULA!O16="N/A","","X"),"")</f>
        <v>X</v>
      </c>
      <c r="G23" s="145" t="str">
        <f aca="false">IF(CEDULA!O16="N/A","N/A","")</f>
        <v/>
      </c>
      <c r="H23" s="148"/>
    </row>
    <row r="24" customFormat="false" ht="15" hidden="false" customHeight="true" outlineLevel="0" collapsed="false">
      <c r="B24" s="139" t="n">
        <v>14</v>
      </c>
      <c r="C24" s="141" t="s">
        <v>128</v>
      </c>
      <c r="D24" s="142" t="n">
        <f aca="false">+CEDULA!P18</f>
        <v>0</v>
      </c>
      <c r="E24" s="143" t="str">
        <f aca="false">IF($D24=100,"X","")</f>
        <v/>
      </c>
      <c r="F24" s="144" t="str">
        <f aca="false">IF($D24=0,IF(CEDULA!P16="N/A","","X"),"")</f>
        <v>X</v>
      </c>
      <c r="G24" s="145" t="str">
        <f aca="false">IF(CEDULA!P16="N/A","N/A","")</f>
        <v/>
      </c>
      <c r="H24" s="146"/>
    </row>
    <row r="25" customFormat="false" ht="25.5" hidden="false" customHeight="true" outlineLevel="0" collapsed="false">
      <c r="B25" s="139" t="n">
        <v>15</v>
      </c>
      <c r="C25" s="155" t="s">
        <v>129</v>
      </c>
      <c r="D25" s="142" t="n">
        <f aca="false">+CEDULA!R18</f>
        <v>0</v>
      </c>
      <c r="E25" s="143" t="str">
        <f aca="false">IF($D25=100,"X","")</f>
        <v/>
      </c>
      <c r="F25" s="144" t="str">
        <f aca="false">IF($D25=0,IF(CEDULA!R16="N/A","","X"),"")</f>
        <v>X</v>
      </c>
      <c r="G25" s="145" t="str">
        <f aca="false">IF(CEDULA!E29="N/A","N/A","")</f>
        <v/>
      </c>
      <c r="H25" s="145"/>
    </row>
    <row r="26" customFormat="false" ht="18.75" hidden="false" customHeight="true" outlineLevel="0" collapsed="false">
      <c r="B26" s="139" t="n">
        <v>16</v>
      </c>
      <c r="C26" s="156" t="s">
        <v>130</v>
      </c>
      <c r="D26" s="142" t="n">
        <f aca="false">+CEDULA!S18</f>
        <v>0</v>
      </c>
      <c r="E26" s="143" t="str">
        <f aca="false">IF($D26=100,"X","")</f>
        <v/>
      </c>
      <c r="F26" s="144" t="str">
        <f aca="false">IF($D26=0,IF(CEDULA!S16="N/A","","X"),"")</f>
        <v>X</v>
      </c>
      <c r="G26" s="145"/>
      <c r="H26" s="146"/>
    </row>
    <row r="27" customFormat="false" ht="15.75" hidden="false" customHeight="true" outlineLevel="0" collapsed="false">
      <c r="B27" s="139"/>
      <c r="C27" s="157" t="s">
        <v>131</v>
      </c>
      <c r="D27" s="158"/>
      <c r="E27" s="143" t="str">
        <f aca="false">IF($D27=100,"X","")</f>
        <v/>
      </c>
      <c r="F27" s="159"/>
      <c r="G27" s="160" t="s">
        <v>84</v>
      </c>
      <c r="H27" s="146"/>
    </row>
    <row r="28" customFormat="false" ht="17.25" hidden="false" customHeight="true" outlineLevel="0" collapsed="false">
      <c r="B28" s="139"/>
      <c r="C28" s="161" t="s">
        <v>132</v>
      </c>
      <c r="D28" s="162"/>
      <c r="E28" s="143" t="str">
        <f aca="false">IF($D28=100,"X","")</f>
        <v/>
      </c>
      <c r="F28" s="159"/>
      <c r="G28" s="160" t="s">
        <v>84</v>
      </c>
      <c r="H28" s="146"/>
    </row>
    <row r="29" customFormat="false" ht="15" hidden="false" customHeight="true" outlineLevel="0" collapsed="false">
      <c r="B29" s="139" t="n">
        <v>17</v>
      </c>
      <c r="C29" s="155" t="s">
        <v>133</v>
      </c>
      <c r="D29" s="163" t="n">
        <f aca="false">+CEDULA!T18</f>
        <v>0</v>
      </c>
      <c r="E29" s="143" t="str">
        <f aca="false">IF($D29=100,"X","")</f>
        <v/>
      </c>
      <c r="F29" s="144" t="str">
        <f aca="false">IF($D29=0,IF(CEDULA!T16="N/A","","X"),"")</f>
        <v>X</v>
      </c>
      <c r="G29" s="145"/>
      <c r="H29" s="148"/>
    </row>
    <row r="30" customFormat="false" ht="35.05" hidden="false" customHeight="false" outlineLevel="0" collapsed="false">
      <c r="B30" s="139" t="n">
        <v>18</v>
      </c>
      <c r="C30" s="156" t="s">
        <v>134</v>
      </c>
      <c r="D30" s="164" t="n">
        <f aca="false">+CEDULA!U18</f>
        <v>0</v>
      </c>
      <c r="E30" s="143" t="str">
        <f aca="false">IF($D30=100,"X","")</f>
        <v/>
      </c>
      <c r="F30" s="144" t="str">
        <f aca="false">IF($D30=0,IF(CEDULA!U16="N/A","","X"),"")</f>
        <v>X</v>
      </c>
      <c r="G30" s="145"/>
      <c r="H30" s="146"/>
    </row>
    <row r="31" customFormat="false" ht="24.75" hidden="false" customHeight="true" outlineLevel="0" collapsed="false">
      <c r="B31" s="139" t="n">
        <v>19</v>
      </c>
      <c r="C31" s="156" t="s">
        <v>135</v>
      </c>
      <c r="D31" s="164" t="n">
        <f aca="false">+CEDULA!V18</f>
        <v>0</v>
      </c>
      <c r="E31" s="143" t="str">
        <f aca="false">IF($D31=100,"X","")</f>
        <v/>
      </c>
      <c r="F31" s="144" t="str">
        <f aca="false">IF($D31=0,IF(CEDULA!V16="N/A","","X"),"")</f>
        <v>X</v>
      </c>
      <c r="G31" s="145"/>
      <c r="H31" s="146"/>
    </row>
    <row r="32" customFormat="false" ht="40.5" hidden="false" customHeight="true" outlineLevel="0" collapsed="false">
      <c r="A32" s="124" t="s">
        <v>136</v>
      </c>
      <c r="B32" s="139" t="n">
        <v>20</v>
      </c>
      <c r="C32" s="156" t="s">
        <v>137</v>
      </c>
      <c r="D32" s="164" t="n">
        <f aca="false">+CEDULA!W18</f>
        <v>0</v>
      </c>
      <c r="E32" s="143" t="str">
        <f aca="false">IF($D32=100,"X","")</f>
        <v/>
      </c>
      <c r="F32" s="144" t="str">
        <f aca="false">IF($D32=0,IF(CEDULA!W16="N/A","","X"),"")</f>
        <v>X</v>
      </c>
      <c r="G32" s="145"/>
      <c r="H32" s="146"/>
    </row>
    <row r="33" customFormat="false" ht="40.5" hidden="false" customHeight="true" outlineLevel="0" collapsed="false">
      <c r="A33" s="124" t="s">
        <v>138</v>
      </c>
      <c r="B33" s="139" t="n">
        <v>21</v>
      </c>
      <c r="C33" s="156" t="s">
        <v>139</v>
      </c>
      <c r="D33" s="164" t="n">
        <f aca="false">+CEDULA!X18</f>
        <v>0</v>
      </c>
      <c r="E33" s="143" t="str">
        <f aca="false">IF($D33=100,"X","")</f>
        <v/>
      </c>
      <c r="F33" s="144" t="str">
        <f aca="false">IF($D33=0,IF(CEDULA!X16="N/A","","X"),"")</f>
        <v>X</v>
      </c>
      <c r="G33" s="145"/>
      <c r="H33" s="146"/>
    </row>
    <row r="34" customFormat="false" ht="34.5" hidden="false" customHeight="true" outlineLevel="0" collapsed="false">
      <c r="A34" s="124" t="s">
        <v>138</v>
      </c>
      <c r="B34" s="139" t="n">
        <v>22</v>
      </c>
      <c r="C34" s="155" t="s">
        <v>140</v>
      </c>
      <c r="D34" s="163" t="n">
        <f aca="false">+CEDULA!Y18</f>
        <v>0</v>
      </c>
      <c r="E34" s="143" t="str">
        <f aca="false">IF($D34=100,"X","")</f>
        <v/>
      </c>
      <c r="F34" s="144" t="str">
        <f aca="false">IF($D34=0,IF(CEDULA!Y16="N/A","","X"),"")</f>
        <v>X</v>
      </c>
      <c r="G34" s="145"/>
      <c r="H34" s="146"/>
    </row>
    <row r="35" customFormat="false" ht="36" hidden="false" customHeight="true" outlineLevel="0" collapsed="false">
      <c r="B35" s="139" t="n">
        <v>23</v>
      </c>
      <c r="C35" s="156" t="s">
        <v>141</v>
      </c>
      <c r="D35" s="164" t="n">
        <f aca="false">+CEDULA!AA18</f>
        <v>0</v>
      </c>
      <c r="E35" s="143" t="str">
        <f aca="false">IF($D35=100,"X","")</f>
        <v/>
      </c>
      <c r="F35" s="144" t="str">
        <f aca="false">IF($D35=0,IF(CEDULA!AA16="N/A","","X"),"")</f>
        <v>X</v>
      </c>
      <c r="G35" s="160" t="s">
        <v>84</v>
      </c>
      <c r="H35" s="146"/>
    </row>
    <row r="36" customFormat="false" ht="24" hidden="false" customHeight="true" outlineLevel="0" collapsed="false">
      <c r="B36" s="139" t="n">
        <v>24</v>
      </c>
      <c r="C36" s="156" t="s">
        <v>142</v>
      </c>
      <c r="D36" s="164" t="n">
        <f aca="false">+CEDULA!AB18</f>
        <v>0</v>
      </c>
      <c r="E36" s="143" t="str">
        <f aca="false">IF($D36=100,"X","")</f>
        <v/>
      </c>
      <c r="F36" s="144" t="str">
        <f aca="false">IF($D36=0,IF(CEDULA!AB16="N/A","","X"),"")</f>
        <v>X</v>
      </c>
      <c r="G36" s="160" t="s">
        <v>84</v>
      </c>
      <c r="H36" s="146"/>
    </row>
    <row r="37" customFormat="false" ht="15" hidden="false" customHeight="true" outlineLevel="0" collapsed="false">
      <c r="B37" s="139" t="n">
        <v>25</v>
      </c>
      <c r="C37" s="155" t="s">
        <v>143</v>
      </c>
      <c r="D37" s="164" t="n">
        <f aca="false">+CEDULA!AC18</f>
        <v>0</v>
      </c>
      <c r="E37" s="143" t="str">
        <f aca="false">IF($D37=100,"X","")</f>
        <v/>
      </c>
      <c r="F37" s="144" t="str">
        <f aca="false">IF($D37=0,IF(CEDULA!AC16="N/A","","X"),"")</f>
        <v>X</v>
      </c>
      <c r="G37" s="160" t="s">
        <v>84</v>
      </c>
      <c r="H37" s="148"/>
    </row>
    <row r="38" customFormat="false" ht="15" hidden="false" customHeight="true" outlineLevel="0" collapsed="false">
      <c r="B38" s="139" t="n">
        <v>26</v>
      </c>
      <c r="C38" s="156" t="s">
        <v>144</v>
      </c>
      <c r="D38" s="164" t="n">
        <f aca="false">+CEDULA!AD18</f>
        <v>0</v>
      </c>
      <c r="E38" s="143" t="str">
        <f aca="false">IF($D38=100,"X","")</f>
        <v/>
      </c>
      <c r="F38" s="144" t="str">
        <f aca="false">IF($D38=0,IF(CEDULA!AD16="N/A","","X"),"")</f>
        <v>X</v>
      </c>
      <c r="G38" s="160" t="s">
        <v>84</v>
      </c>
      <c r="H38" s="146"/>
    </row>
    <row r="39" customFormat="false" ht="15" hidden="false" customHeight="true" outlineLevel="0" collapsed="false">
      <c r="B39" s="139" t="n">
        <v>27</v>
      </c>
      <c r="C39" s="156" t="s">
        <v>145</v>
      </c>
      <c r="D39" s="164" t="n">
        <f aca="false">+CEDULA!AE18</f>
        <v>0</v>
      </c>
      <c r="E39" s="143" t="str">
        <f aca="false">IF($D39=100,"X","")</f>
        <v/>
      </c>
      <c r="F39" s="144" t="str">
        <f aca="false">IF($D39=0,IF(CEDULA!AE16="N/A","","X"),"")</f>
        <v>X</v>
      </c>
      <c r="G39" s="160" t="s">
        <v>84</v>
      </c>
      <c r="H39" s="146"/>
    </row>
    <row r="40" customFormat="false" ht="106.5" hidden="true" customHeight="true" outlineLevel="0" collapsed="false">
      <c r="B40" s="165" t="n">
        <v>1</v>
      </c>
      <c r="C40" s="166"/>
      <c r="D40" s="166"/>
      <c r="E40" s="166"/>
      <c r="F40" s="166"/>
      <c r="G40" s="166"/>
      <c r="H40" s="166"/>
    </row>
    <row r="41" customFormat="false" ht="225.75" hidden="false" customHeight="true" outlineLevel="0" collapsed="false">
      <c r="B41" s="145" t="n">
        <v>1</v>
      </c>
      <c r="C41" s="167" t="s">
        <v>146</v>
      </c>
      <c r="D41" s="167"/>
      <c r="E41" s="167"/>
      <c r="F41" s="167"/>
      <c r="G41" s="167"/>
      <c r="H41" s="167"/>
    </row>
    <row r="42" s="169" customFormat="true" ht="18.75" hidden="false" customHeight="true" outlineLevel="0" collapsed="false">
      <c r="A42" s="168"/>
      <c r="B42" s="135" t="s">
        <v>147</v>
      </c>
      <c r="C42" s="135"/>
      <c r="D42" s="6" t="s">
        <v>148</v>
      </c>
      <c r="E42" s="6"/>
      <c r="F42" s="6"/>
      <c r="G42" s="6"/>
      <c r="H42" s="6"/>
    </row>
    <row r="43" s="169" customFormat="true" ht="20.25" hidden="false" customHeight="true" outlineLevel="0" collapsed="false">
      <c r="A43" s="168"/>
      <c r="B43" s="170"/>
      <c r="C43" s="170"/>
      <c r="D43" s="171"/>
      <c r="E43" s="171"/>
      <c r="F43" s="171"/>
      <c r="G43" s="171"/>
      <c r="H43" s="171"/>
    </row>
    <row r="44" s="169" customFormat="true" ht="20.25" hidden="false" customHeight="true" outlineLevel="0" collapsed="false">
      <c r="A44" s="168"/>
      <c r="B44" s="172" t="s">
        <v>100</v>
      </c>
      <c r="C44" s="173" t="str">
        <f aca="false">+CEDULA!C23</f>
        <v>${auditor_a}</v>
      </c>
      <c r="D44" s="174" t="s">
        <v>101</v>
      </c>
      <c r="E44" s="175" t="str">
        <f aca="false">+CEDULA!O23</f>
        <v>${auditor_b}</v>
      </c>
      <c r="F44" s="176"/>
      <c r="G44" s="176"/>
      <c r="H44" s="177"/>
    </row>
    <row r="45" s="169" customFormat="true" ht="20.25" hidden="false" customHeight="true" outlineLevel="0" collapsed="false">
      <c r="A45" s="168"/>
      <c r="B45" s="178" t="s">
        <v>149</v>
      </c>
      <c r="C45" s="178"/>
      <c r="D45" s="179" t="s">
        <v>149</v>
      </c>
      <c r="E45" s="179"/>
      <c r="F45" s="179"/>
      <c r="G45" s="179"/>
      <c r="H45" s="179"/>
    </row>
    <row r="106" s="32" customFormat="true" ht="15" hidden="false" customHeight="false" outlineLevel="0" collapsed="false">
      <c r="A106" s="124"/>
      <c r="B106" s="125"/>
      <c r="C106" s="126"/>
      <c r="D106" s="126"/>
      <c r="E106" s="126"/>
      <c r="F106" s="126"/>
      <c r="G106" s="126"/>
      <c r="H106" s="126"/>
    </row>
    <row r="107" s="32" customFormat="true" ht="15" hidden="false" customHeight="false" outlineLevel="0" collapsed="false">
      <c r="A107" s="124"/>
      <c r="B107" s="125"/>
      <c r="C107" s="126"/>
      <c r="D107" s="126"/>
      <c r="E107" s="126"/>
      <c r="F107" s="126"/>
      <c r="G107" s="126"/>
      <c r="H107" s="126"/>
    </row>
    <row r="108" s="32" customFormat="true" ht="15" hidden="false" customHeight="false" outlineLevel="0" collapsed="false">
      <c r="A108" s="124"/>
      <c r="B108" s="125"/>
      <c r="C108" s="126"/>
      <c r="D108" s="126"/>
      <c r="E108" s="126"/>
      <c r="F108" s="126"/>
      <c r="G108" s="126"/>
      <c r="H108" s="126"/>
    </row>
    <row r="109" s="32" customFormat="true" ht="15" hidden="false" customHeight="false" outlineLevel="0" collapsed="false">
      <c r="A109" s="124"/>
      <c r="B109" s="125"/>
      <c r="C109" s="126"/>
      <c r="D109" s="126"/>
      <c r="E109" s="126"/>
      <c r="F109" s="126"/>
      <c r="G109" s="126"/>
      <c r="H109" s="126"/>
    </row>
    <row r="110" s="32" customFormat="true" ht="15" hidden="false" customHeight="false" outlineLevel="0" collapsed="false">
      <c r="A110" s="124"/>
      <c r="B110" s="125"/>
      <c r="C110" s="126"/>
      <c r="D110" s="126"/>
      <c r="E110" s="126"/>
      <c r="F110" s="126"/>
      <c r="G110" s="126"/>
      <c r="H110" s="126"/>
    </row>
    <row r="111" s="32" customFormat="true" ht="15" hidden="false" customHeight="false" outlineLevel="0" collapsed="false">
      <c r="A111" s="124"/>
      <c r="B111" s="125"/>
      <c r="C111" s="126"/>
      <c r="D111" s="126"/>
      <c r="E111" s="126"/>
      <c r="F111" s="126"/>
      <c r="G111" s="126"/>
      <c r="H111" s="126"/>
    </row>
    <row r="112" s="32" customFormat="true" ht="15" hidden="false" customHeight="false" outlineLevel="0" collapsed="false">
      <c r="A112" s="124"/>
      <c r="B112" s="125"/>
      <c r="C112" s="126"/>
      <c r="D112" s="126"/>
      <c r="E112" s="126"/>
      <c r="F112" s="126"/>
      <c r="G112" s="126"/>
      <c r="H112" s="126"/>
    </row>
    <row r="113" s="32" customFormat="true" ht="15" hidden="false" customHeight="false" outlineLevel="0" collapsed="false">
      <c r="A113" s="124"/>
      <c r="B113" s="125"/>
      <c r="C113" s="126"/>
      <c r="D113" s="126"/>
      <c r="E113" s="126"/>
      <c r="F113" s="126"/>
      <c r="G113" s="126"/>
      <c r="H113" s="126"/>
    </row>
    <row r="114" s="32" customFormat="true" ht="15" hidden="false" customHeight="false" outlineLevel="0" collapsed="false">
      <c r="A114" s="124"/>
      <c r="B114" s="125"/>
      <c r="C114" s="126"/>
      <c r="D114" s="126"/>
      <c r="E114" s="126"/>
      <c r="F114" s="126"/>
      <c r="G114" s="126"/>
      <c r="H114" s="126"/>
    </row>
    <row r="115" s="32" customFormat="true" ht="15" hidden="false" customHeight="false" outlineLevel="0" collapsed="false">
      <c r="A115" s="124"/>
      <c r="B115" s="125"/>
      <c r="C115" s="126"/>
      <c r="D115" s="126"/>
      <c r="E115" s="126"/>
      <c r="F115" s="126"/>
      <c r="G115" s="126"/>
      <c r="H115" s="126"/>
    </row>
    <row r="116" s="32" customFormat="true" ht="15" hidden="false" customHeight="false" outlineLevel="0" collapsed="false">
      <c r="A116" s="124"/>
      <c r="B116" s="125"/>
      <c r="C116" s="126"/>
      <c r="D116" s="126"/>
      <c r="E116" s="126"/>
      <c r="F116" s="126"/>
      <c r="G116" s="126"/>
      <c r="H116" s="126"/>
    </row>
    <row r="117" s="32" customFormat="true" ht="15" hidden="false" customHeight="false" outlineLevel="0" collapsed="false">
      <c r="A117" s="124"/>
      <c r="B117" s="125"/>
      <c r="C117" s="126"/>
      <c r="D117" s="126"/>
      <c r="E117" s="126"/>
      <c r="F117" s="126"/>
      <c r="G117" s="126"/>
      <c r="H117" s="126"/>
    </row>
    <row r="118" s="32" customFormat="true" ht="15" hidden="false" customHeight="false" outlineLevel="0" collapsed="false">
      <c r="A118" s="124"/>
      <c r="B118" s="125"/>
      <c r="C118" s="126"/>
      <c r="D118" s="126"/>
      <c r="E118" s="126"/>
      <c r="F118" s="126"/>
      <c r="G118" s="126"/>
      <c r="H118" s="126"/>
    </row>
    <row r="119" s="32" customFormat="true" ht="15" hidden="false" customHeight="false" outlineLevel="0" collapsed="false">
      <c r="A119" s="124"/>
      <c r="B119" s="125"/>
      <c r="C119" s="126"/>
      <c r="D119" s="126"/>
      <c r="E119" s="126"/>
      <c r="F119" s="126"/>
      <c r="G119" s="126"/>
      <c r="H119" s="126"/>
    </row>
    <row r="120" s="32" customFormat="true" ht="15" hidden="false" customHeight="false" outlineLevel="0" collapsed="false">
      <c r="A120" s="124"/>
      <c r="B120" s="125"/>
      <c r="C120" s="126"/>
      <c r="D120" s="126"/>
      <c r="E120" s="126"/>
      <c r="F120" s="126"/>
      <c r="G120" s="126"/>
      <c r="H120" s="126"/>
    </row>
    <row r="121" s="32" customFormat="true" ht="15" hidden="false" customHeight="false" outlineLevel="0" collapsed="false">
      <c r="A121" s="124"/>
      <c r="B121" s="125"/>
      <c r="C121" s="126"/>
      <c r="D121" s="126"/>
      <c r="E121" s="126"/>
      <c r="F121" s="126"/>
      <c r="G121" s="126"/>
      <c r="H121" s="126"/>
    </row>
    <row r="122" s="32" customFormat="true" ht="15" hidden="false" customHeight="false" outlineLevel="0" collapsed="false">
      <c r="A122" s="124"/>
      <c r="B122" s="125"/>
      <c r="C122" s="126"/>
      <c r="D122" s="126"/>
      <c r="E122" s="126"/>
      <c r="F122" s="126"/>
      <c r="G122" s="126"/>
      <c r="H122" s="126"/>
    </row>
    <row r="123" s="32" customFormat="true" ht="15" hidden="false" customHeight="false" outlineLevel="0" collapsed="false">
      <c r="A123" s="124"/>
      <c r="B123" s="125"/>
      <c r="C123" s="126"/>
      <c r="D123" s="126"/>
      <c r="E123" s="126"/>
      <c r="F123" s="126"/>
      <c r="G123" s="126"/>
      <c r="H123" s="126"/>
    </row>
    <row r="124" s="32" customFormat="true" ht="15" hidden="false" customHeight="false" outlineLevel="0" collapsed="false">
      <c r="A124" s="124"/>
      <c r="B124" s="125"/>
      <c r="C124" s="126"/>
      <c r="D124" s="126"/>
      <c r="E124" s="126"/>
      <c r="F124" s="126"/>
      <c r="G124" s="126"/>
      <c r="H124" s="126"/>
    </row>
    <row r="125" s="32" customFormat="true" ht="15" hidden="false" customHeight="false" outlineLevel="0" collapsed="false">
      <c r="A125" s="124"/>
      <c r="B125" s="125"/>
      <c r="C125" s="126"/>
      <c r="D125" s="126"/>
      <c r="E125" s="126"/>
      <c r="F125" s="126"/>
      <c r="G125" s="126"/>
      <c r="H125" s="126"/>
    </row>
    <row r="126" s="32" customFormat="true" ht="15" hidden="false" customHeight="false" outlineLevel="0" collapsed="false">
      <c r="A126" s="124"/>
      <c r="B126" s="125"/>
      <c r="C126" s="126"/>
      <c r="D126" s="126"/>
      <c r="E126" s="126"/>
      <c r="F126" s="126"/>
      <c r="G126" s="126"/>
      <c r="H126" s="126"/>
    </row>
    <row r="127" s="32" customFormat="true" ht="15" hidden="false" customHeight="false" outlineLevel="0" collapsed="false">
      <c r="A127" s="124"/>
      <c r="B127" s="125"/>
      <c r="C127" s="126"/>
      <c r="D127" s="126"/>
      <c r="E127" s="126"/>
      <c r="F127" s="126"/>
      <c r="G127" s="126"/>
      <c r="H127" s="126"/>
    </row>
    <row r="128" s="32" customFormat="true" ht="15" hidden="false" customHeight="false" outlineLevel="0" collapsed="false">
      <c r="A128" s="124"/>
      <c r="B128" s="125"/>
      <c r="C128" s="126"/>
      <c r="D128" s="126"/>
      <c r="E128" s="126"/>
      <c r="F128" s="126"/>
      <c r="G128" s="126"/>
      <c r="H128" s="126"/>
    </row>
    <row r="129" s="32" customFormat="true" ht="15" hidden="false" customHeight="false" outlineLevel="0" collapsed="false">
      <c r="A129" s="124"/>
      <c r="B129" s="125"/>
      <c r="C129" s="126"/>
      <c r="D129" s="126"/>
      <c r="E129" s="126"/>
      <c r="F129" s="126"/>
      <c r="G129" s="126"/>
      <c r="H129" s="126"/>
    </row>
    <row r="130" s="32" customFormat="true" ht="15" hidden="false" customHeight="false" outlineLevel="0" collapsed="false">
      <c r="A130" s="124"/>
      <c r="B130" s="125"/>
      <c r="C130" s="126"/>
      <c r="D130" s="126"/>
      <c r="E130" s="126"/>
      <c r="F130" s="126"/>
      <c r="G130" s="126"/>
      <c r="H130" s="126"/>
    </row>
    <row r="131" s="32" customFormat="true" ht="15" hidden="false" customHeight="false" outlineLevel="0" collapsed="false">
      <c r="A131" s="124"/>
      <c r="B131" s="125"/>
      <c r="C131" s="126"/>
      <c r="D131" s="126"/>
      <c r="E131" s="126"/>
      <c r="F131" s="126"/>
      <c r="G131" s="126"/>
      <c r="H131" s="126"/>
    </row>
    <row r="132" s="32" customFormat="true" ht="15" hidden="false" customHeight="false" outlineLevel="0" collapsed="false">
      <c r="A132" s="124"/>
      <c r="B132" s="125"/>
      <c r="C132" s="126"/>
      <c r="D132" s="126"/>
      <c r="E132" s="126"/>
      <c r="F132" s="126"/>
      <c r="G132" s="126"/>
      <c r="H132" s="126"/>
    </row>
    <row r="133" s="32" customFormat="true" ht="15" hidden="false" customHeight="false" outlineLevel="0" collapsed="false">
      <c r="A133" s="124"/>
      <c r="B133" s="125"/>
      <c r="C133" s="126"/>
      <c r="D133" s="126"/>
      <c r="E133" s="126"/>
      <c r="F133" s="126"/>
      <c r="G133" s="126"/>
      <c r="H133" s="126"/>
    </row>
    <row r="134" s="32" customFormat="true" ht="15" hidden="false" customHeight="false" outlineLevel="0" collapsed="false">
      <c r="A134" s="124"/>
      <c r="B134" s="125"/>
      <c r="C134" s="126"/>
      <c r="D134" s="126"/>
      <c r="E134" s="126"/>
      <c r="F134" s="126"/>
      <c r="G134" s="126"/>
      <c r="H134" s="126"/>
    </row>
    <row r="135" s="32" customFormat="true" ht="15" hidden="false" customHeight="false" outlineLevel="0" collapsed="false">
      <c r="A135" s="124"/>
      <c r="B135" s="125"/>
      <c r="C135" s="126"/>
      <c r="D135" s="126"/>
      <c r="E135" s="126"/>
      <c r="F135" s="126"/>
      <c r="G135" s="126"/>
      <c r="H135" s="126"/>
    </row>
    <row r="136" s="32" customFormat="true" ht="15" hidden="false" customHeight="false" outlineLevel="0" collapsed="false">
      <c r="A136" s="124"/>
      <c r="B136" s="125"/>
      <c r="C136" s="126"/>
      <c r="D136" s="126"/>
      <c r="E136" s="126"/>
      <c r="F136" s="126"/>
      <c r="G136" s="126"/>
      <c r="H136" s="126"/>
    </row>
    <row r="137" s="32" customFormat="true" ht="15" hidden="false" customHeight="false" outlineLevel="0" collapsed="false">
      <c r="A137" s="124"/>
      <c r="B137" s="125"/>
      <c r="C137" s="126"/>
      <c r="D137" s="126"/>
      <c r="E137" s="126"/>
      <c r="F137" s="126"/>
      <c r="G137" s="126"/>
      <c r="H137" s="126"/>
    </row>
    <row r="138" s="32" customFormat="true" ht="15" hidden="false" customHeight="false" outlineLevel="0" collapsed="false">
      <c r="A138" s="124"/>
      <c r="B138" s="125"/>
      <c r="C138" s="126"/>
      <c r="D138" s="126"/>
      <c r="E138" s="126"/>
      <c r="F138" s="126"/>
      <c r="G138" s="126"/>
      <c r="H138" s="126"/>
    </row>
    <row r="139" s="32" customFormat="true" ht="15" hidden="false" customHeight="false" outlineLevel="0" collapsed="false">
      <c r="A139" s="124"/>
      <c r="B139" s="125"/>
      <c r="C139" s="126"/>
      <c r="D139" s="126"/>
      <c r="E139" s="126"/>
      <c r="F139" s="126"/>
      <c r="G139" s="126"/>
      <c r="H139" s="126"/>
    </row>
    <row r="140" s="32" customFormat="true" ht="15" hidden="false" customHeight="false" outlineLevel="0" collapsed="false">
      <c r="A140" s="124"/>
      <c r="B140" s="125"/>
      <c r="C140" s="126"/>
      <c r="D140" s="126"/>
      <c r="E140" s="126"/>
      <c r="F140" s="126"/>
      <c r="G140" s="126"/>
      <c r="H140" s="126"/>
    </row>
    <row r="141" s="32" customFormat="true" ht="15" hidden="false" customHeight="false" outlineLevel="0" collapsed="false">
      <c r="A141" s="124"/>
      <c r="B141" s="125"/>
      <c r="C141" s="126"/>
      <c r="D141" s="126"/>
      <c r="E141" s="126"/>
      <c r="F141" s="126"/>
      <c r="G141" s="126"/>
      <c r="H141" s="126"/>
    </row>
  </sheetData>
  <mergeCells count="25">
    <mergeCell ref="B1:C3"/>
    <mergeCell ref="D1:G5"/>
    <mergeCell ref="H1:H5"/>
    <mergeCell ref="B4:C4"/>
    <mergeCell ref="B5:C5"/>
    <mergeCell ref="B6:H6"/>
    <mergeCell ref="B7:C7"/>
    <mergeCell ref="D7:H7"/>
    <mergeCell ref="C8:D8"/>
    <mergeCell ref="E8:H8"/>
    <mergeCell ref="C9:D9"/>
    <mergeCell ref="E9:E10"/>
    <mergeCell ref="F9:F10"/>
    <mergeCell ref="G9:G10"/>
    <mergeCell ref="H9:H10"/>
    <mergeCell ref="B20:B21"/>
    <mergeCell ref="B26:B28"/>
    <mergeCell ref="C40:H40"/>
    <mergeCell ref="C41:H41"/>
    <mergeCell ref="B42:C42"/>
    <mergeCell ref="D42:H42"/>
    <mergeCell ref="B43:C43"/>
    <mergeCell ref="D43:H43"/>
    <mergeCell ref="B45:C45"/>
    <mergeCell ref="D45:H45"/>
  </mergeCells>
  <printOptions headings="false" gridLines="false" gridLinesSet="true" horizontalCentered="true" verticalCentered="false"/>
  <pageMargins left="0.7875" right="0.7875" top="0.7875" bottom="0.7875" header="0.511811023622047" footer="0.511811023622047"/>
  <pageSetup paperSize="1" scale="65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39" man="true" max="16383" min="0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0" activeCellId="0" sqref="C10"/>
    </sheetView>
  </sheetViews>
  <sheetFormatPr defaultColWidth="11.43359375" defaultRowHeight="12.75" zeroHeight="false" outlineLevelRow="0" outlineLevelCol="0"/>
  <cols>
    <col collapsed="false" customWidth="true" hidden="false" outlineLevel="0" max="1" min="1" style="124" width="2.71"/>
    <col collapsed="false" customWidth="true" hidden="false" outlineLevel="0" max="2" min="2" style="126" width="7.29"/>
    <col collapsed="false" customWidth="true" hidden="false" outlineLevel="0" max="3" min="3" style="126" width="36.57"/>
    <col collapsed="false" customWidth="true" hidden="false" outlineLevel="0" max="4" min="4" style="126" width="19.86"/>
    <col collapsed="false" customWidth="true" hidden="false" outlineLevel="0" max="7" min="5" style="126" width="6.71"/>
    <col collapsed="false" customWidth="true" hidden="false" outlineLevel="0" max="8" min="8" style="126" width="20.29"/>
    <col collapsed="false" customWidth="true" hidden="false" outlineLevel="0" max="9" min="9" style="180" width="9"/>
    <col collapsed="false" customWidth="true" hidden="false" outlineLevel="0" max="10" min="10" style="180" width="8.15"/>
    <col collapsed="false" customWidth="true" hidden="false" outlineLevel="0" max="11" min="11" style="180" width="9.29"/>
    <col collapsed="false" customWidth="false" hidden="false" outlineLevel="0" max="16384" min="12" style="181" width="11.43"/>
  </cols>
  <sheetData>
    <row r="1" customFormat="false" ht="16.5" hidden="false" customHeight="true" outlineLevel="0" collapsed="false">
      <c r="B1" s="182"/>
      <c r="C1" s="182"/>
      <c r="D1" s="183" t="str">
        <f aca="false">+HALLAZGOS!D1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  <c r="E1" s="183"/>
      <c r="F1" s="183"/>
      <c r="G1" s="183"/>
      <c r="H1" s="183"/>
      <c r="I1" s="183"/>
      <c r="J1" s="129" t="s">
        <v>150</v>
      </c>
      <c r="K1" s="129"/>
    </row>
    <row r="2" customFormat="false" ht="16.5" hidden="false" customHeight="true" outlineLevel="0" collapsed="false">
      <c r="B2" s="182"/>
      <c r="C2" s="182"/>
      <c r="D2" s="183"/>
      <c r="E2" s="183"/>
      <c r="F2" s="183"/>
      <c r="G2" s="183"/>
      <c r="H2" s="183"/>
      <c r="I2" s="183"/>
      <c r="J2" s="129"/>
      <c r="K2" s="129"/>
    </row>
    <row r="3" customFormat="false" ht="16.5" hidden="false" customHeight="true" outlineLevel="0" collapsed="false">
      <c r="B3" s="182"/>
      <c r="C3" s="182"/>
      <c r="D3" s="183"/>
      <c r="E3" s="183"/>
      <c r="F3" s="183"/>
      <c r="G3" s="183"/>
      <c r="H3" s="183"/>
      <c r="I3" s="183"/>
      <c r="J3" s="129"/>
      <c r="K3" s="129"/>
    </row>
    <row r="4" customFormat="false" ht="21.75" hidden="false" customHeight="true" outlineLevel="0" collapsed="false">
      <c r="B4" s="184" t="s">
        <v>47</v>
      </c>
      <c r="C4" s="184"/>
      <c r="D4" s="183"/>
      <c r="E4" s="183"/>
      <c r="F4" s="183"/>
      <c r="G4" s="183"/>
      <c r="H4" s="183"/>
      <c r="I4" s="183"/>
      <c r="J4" s="129"/>
      <c r="K4" s="129"/>
    </row>
    <row r="5" customFormat="false" ht="21.75" hidden="false" customHeight="true" outlineLevel="0" collapsed="false">
      <c r="B5" s="184" t="str">
        <f aca="false">+HALLAZGOS!B5</f>
        <v>Actuación: ${periodo_desde} AL ${periodo_hasta}</v>
      </c>
      <c r="C5" s="184"/>
      <c r="D5" s="183"/>
      <c r="E5" s="183"/>
      <c r="F5" s="183"/>
      <c r="G5" s="183"/>
      <c r="H5" s="183"/>
      <c r="I5" s="183"/>
      <c r="J5" s="129"/>
      <c r="K5" s="129"/>
    </row>
    <row r="6" customFormat="false" ht="21.75" hidden="false" customHeight="true" outlineLevel="0" collapsed="false">
      <c r="B6" s="185" t="s">
        <v>151</v>
      </c>
      <c r="C6" s="185"/>
      <c r="D6" s="185"/>
      <c r="E6" s="185"/>
      <c r="F6" s="185"/>
      <c r="G6" s="185"/>
      <c r="H6" s="185"/>
      <c r="I6" s="185"/>
      <c r="J6" s="185"/>
      <c r="K6" s="185"/>
    </row>
    <row r="7" s="126" customFormat="true" ht="32.25" hidden="false" customHeight="true" outlineLevel="0" collapsed="false">
      <c r="A7" s="124"/>
      <c r="B7" s="186" t="s">
        <v>105</v>
      </c>
      <c r="C7" s="186"/>
      <c r="D7" s="187" t="str">
        <f aca="false">+HALLAZGOS!D7</f>
        <v>${unidad_entrega} adscrita a la ${unidad_adcripta}</v>
      </c>
      <c r="E7" s="187"/>
      <c r="F7" s="187"/>
      <c r="G7" s="187"/>
      <c r="H7" s="187"/>
      <c r="I7" s="187"/>
      <c r="J7" s="187"/>
      <c r="K7" s="187"/>
    </row>
    <row r="8" customFormat="false" ht="17.25" hidden="false" customHeight="true" outlineLevel="0" collapsed="false">
      <c r="B8" s="188" t="s">
        <v>106</v>
      </c>
      <c r="C8" s="6" t="s">
        <v>152</v>
      </c>
      <c r="D8" s="189"/>
      <c r="E8" s="189"/>
      <c r="F8" s="189"/>
      <c r="G8" s="189"/>
      <c r="H8" s="190"/>
      <c r="I8" s="188" t="s">
        <v>153</v>
      </c>
      <c r="J8" s="188" t="s">
        <v>154</v>
      </c>
      <c r="K8" s="188" t="s">
        <v>155</v>
      </c>
    </row>
    <row r="9" customFormat="false" ht="30.75" hidden="false" customHeight="true" outlineLevel="0" collapsed="false">
      <c r="B9" s="191"/>
      <c r="C9" s="192" t="s">
        <v>156</v>
      </c>
      <c r="D9" s="192"/>
      <c r="E9" s="192"/>
      <c r="F9" s="192"/>
      <c r="G9" s="192"/>
      <c r="H9" s="192"/>
      <c r="I9" s="188"/>
      <c r="J9" s="188"/>
      <c r="K9" s="188"/>
    </row>
    <row r="10" s="126" customFormat="true" ht="253.5" hidden="false" customHeight="true" outlineLevel="0" collapsed="false">
      <c r="A10" s="124"/>
      <c r="B10" s="193" t="n">
        <v>1</v>
      </c>
      <c r="C10" s="194" t="s">
        <v>157</v>
      </c>
      <c r="D10" s="194"/>
      <c r="E10" s="194"/>
      <c r="F10" s="194"/>
      <c r="G10" s="194"/>
      <c r="H10" s="194"/>
      <c r="I10" s="195"/>
      <c r="J10" s="196" t="s">
        <v>158</v>
      </c>
      <c r="K10" s="197"/>
    </row>
    <row r="11" s="169" customFormat="true" ht="18.75" hidden="false" customHeight="true" outlineLevel="0" collapsed="false">
      <c r="A11" s="168"/>
      <c r="B11" s="135" t="s">
        <v>147</v>
      </c>
      <c r="C11" s="135"/>
      <c r="D11" s="6" t="s">
        <v>148</v>
      </c>
      <c r="E11" s="6"/>
      <c r="F11" s="6"/>
      <c r="G11" s="6"/>
      <c r="H11" s="6"/>
    </row>
    <row r="12" s="169" customFormat="true" ht="20.25" hidden="false" customHeight="true" outlineLevel="0" collapsed="false">
      <c r="A12" s="168"/>
      <c r="B12" s="198"/>
      <c r="C12" s="198"/>
      <c r="D12" s="199"/>
      <c r="E12" s="199"/>
      <c r="F12" s="199"/>
      <c r="G12" s="199"/>
      <c r="H12" s="199"/>
    </row>
    <row r="13" s="169" customFormat="true" ht="20.25" hidden="false" customHeight="true" outlineLevel="0" collapsed="false">
      <c r="A13" s="168"/>
      <c r="B13" s="200" t="s">
        <v>100</v>
      </c>
      <c r="C13" s="201" t="str">
        <f aca="false">+CEDULA!C23</f>
        <v>${auditor_a}</v>
      </c>
      <c r="D13" s="202" t="s">
        <v>101</v>
      </c>
      <c r="E13" s="203" t="str">
        <f aca="false">+HALLAZGOS!E44</f>
        <v>${auditor_b}</v>
      </c>
      <c r="F13" s="204"/>
      <c r="G13" s="204"/>
      <c r="H13" s="205"/>
    </row>
    <row r="14" s="169" customFormat="true" ht="20.25" hidden="false" customHeight="true" outlineLevel="0" collapsed="false">
      <c r="A14" s="168"/>
      <c r="B14" s="206" t="s">
        <v>149</v>
      </c>
      <c r="C14" s="206"/>
      <c r="D14" s="207" t="s">
        <v>149</v>
      </c>
      <c r="E14" s="207"/>
      <c r="F14" s="207"/>
      <c r="G14" s="207"/>
      <c r="H14" s="207"/>
    </row>
    <row r="15" s="126" customFormat="true" ht="12.75" hidden="false" customHeight="false" outlineLevel="0" collapsed="false">
      <c r="A15" s="124"/>
      <c r="B15" s="125"/>
    </row>
  </sheetData>
  <mergeCells count="19">
    <mergeCell ref="B1:C3"/>
    <mergeCell ref="D1:I5"/>
    <mergeCell ref="J1:K5"/>
    <mergeCell ref="B4:C4"/>
    <mergeCell ref="B5:C5"/>
    <mergeCell ref="B6:K6"/>
    <mergeCell ref="B7:C7"/>
    <mergeCell ref="D7:K7"/>
    <mergeCell ref="I8:I9"/>
    <mergeCell ref="J8:J9"/>
    <mergeCell ref="K8:K9"/>
    <mergeCell ref="C9:H9"/>
    <mergeCell ref="C10:H10"/>
    <mergeCell ref="B11:C11"/>
    <mergeCell ref="D11:H11"/>
    <mergeCell ref="B12:C12"/>
    <mergeCell ref="D12:H12"/>
    <mergeCell ref="B14:C14"/>
    <mergeCell ref="D14:H14"/>
  </mergeCells>
  <printOptions headings="false" gridLines="false" gridLinesSet="true" horizontalCentered="true" verticalCentered="false"/>
  <pageMargins left="0.7875" right="0.7875" top="0.7875" bottom="0.7875" header="0.511811023622047" footer="0.511811023622047"/>
  <pageSetup paperSize="1" scale="73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I1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ColWidth="11.43359375" defaultRowHeight="12.75" zeroHeight="false" outlineLevelRow="0" outlineLevelCol="0"/>
  <cols>
    <col collapsed="false" customWidth="false" hidden="false" outlineLevel="0" max="1" min="1" style="181" width="11.43"/>
    <col collapsed="false" customWidth="true" hidden="false" outlineLevel="0" max="2" min="2" style="208" width="3.57"/>
    <col collapsed="false" customWidth="true" hidden="false" outlineLevel="0" max="3" min="3" style="208" width="59.29"/>
    <col collapsed="false" customWidth="true" hidden="false" outlineLevel="0" max="4" min="4" style="208" width="28.57"/>
    <col collapsed="false" customWidth="true" hidden="false" outlineLevel="0" max="5" min="5" style="181" width="3"/>
    <col collapsed="false" customWidth="false" hidden="false" outlineLevel="0" max="16384" min="6" style="181" width="11.43"/>
  </cols>
  <sheetData>
    <row r="1" customFormat="false" ht="65.25" hidden="false" customHeight="true" outlineLevel="0" collapsed="false">
      <c r="B1" s="209"/>
      <c r="C1" s="209"/>
      <c r="D1" s="195" t="s">
        <v>159</v>
      </c>
      <c r="E1" s="195"/>
      <c r="F1" s="210"/>
      <c r="G1" s="210"/>
    </row>
    <row r="2" customFormat="false" ht="21" hidden="false" customHeight="true" outlineLevel="0" collapsed="false">
      <c r="B2" s="211" t="str">
        <f aca="false">+'informe de debilidades'!B4:C4</f>
        <v>Organismo Auditado: CANTV</v>
      </c>
      <c r="C2" s="211"/>
      <c r="D2" s="212"/>
      <c r="E2" s="213"/>
      <c r="F2" s="210"/>
      <c r="G2" s="210"/>
    </row>
    <row r="3" customFormat="false" ht="16.5" hidden="false" customHeight="true" outlineLevel="0" collapsed="false">
      <c r="B3" s="211" t="str">
        <f aca="false">+'informe de debilidades'!B5:C5</f>
        <v>Actuación: ${periodo_desde} AL ${periodo_hasta}</v>
      </c>
      <c r="C3" s="211"/>
      <c r="D3" s="214"/>
      <c r="E3" s="213"/>
      <c r="F3" s="210"/>
      <c r="G3" s="210"/>
    </row>
    <row r="4" customFormat="false" ht="31.5" hidden="false" customHeight="true" outlineLevel="0" collapsed="false">
      <c r="B4" s="215" t="str">
        <f aca="false">"Dirección, Unidad o Departamento:  " &amp; +'informe de debilidades'!D7</f>
        <v>Dirección, Unidad o Departamento:  ${unidad_entrega} adscrita a la ${unidad_adcripta}</v>
      </c>
      <c r="C4" s="215"/>
      <c r="D4" s="215"/>
      <c r="E4" s="215"/>
      <c r="F4" s="216"/>
      <c r="G4" s="216"/>
      <c r="H4" s="216"/>
      <c r="I4" s="210"/>
    </row>
    <row r="5" customFormat="false" ht="17.25" hidden="false" customHeight="true" outlineLevel="0" collapsed="false">
      <c r="B5" s="217" t="s">
        <v>160</v>
      </c>
      <c r="C5" s="217"/>
      <c r="D5" s="217"/>
      <c r="E5" s="217"/>
      <c r="F5" s="210"/>
      <c r="G5" s="210"/>
    </row>
    <row r="6" customFormat="false" ht="14.25" hidden="false" customHeight="true" outlineLevel="0" collapsed="false">
      <c r="B6" s="218" t="s">
        <v>161</v>
      </c>
      <c r="C6" s="218"/>
      <c r="D6" s="218"/>
      <c r="E6" s="218"/>
      <c r="F6" s="210"/>
      <c r="G6" s="210"/>
    </row>
    <row r="7" customFormat="false" ht="237.75" hidden="false" customHeight="true" outlineLevel="0" collapsed="false">
      <c r="B7" s="219"/>
      <c r="C7" s="220" t="s">
        <v>162</v>
      </c>
      <c r="D7" s="220"/>
      <c r="E7" s="221"/>
    </row>
    <row r="8" customFormat="false" ht="14.25" hidden="false" customHeight="true" outlineLevel="0" collapsed="false">
      <c r="B8" s="218" t="s">
        <v>163</v>
      </c>
      <c r="C8" s="218"/>
      <c r="D8" s="218"/>
      <c r="E8" s="218"/>
      <c r="F8" s="210"/>
      <c r="G8" s="210"/>
    </row>
    <row r="9" customFormat="false" ht="34.5" hidden="false" customHeight="true" outlineLevel="0" collapsed="false">
      <c r="B9" s="219"/>
      <c r="C9" s="220" t="s">
        <v>164</v>
      </c>
      <c r="D9" s="220"/>
      <c r="E9" s="221"/>
    </row>
    <row r="10" customFormat="false" ht="14.25" hidden="false" customHeight="true" outlineLevel="0" collapsed="false">
      <c r="B10" s="218" t="s">
        <v>165</v>
      </c>
      <c r="C10" s="218"/>
      <c r="D10" s="218"/>
      <c r="E10" s="218"/>
      <c r="F10" s="210"/>
      <c r="G10" s="210"/>
    </row>
    <row r="11" customFormat="false" ht="26.25" hidden="false" customHeight="true" outlineLevel="0" collapsed="false">
      <c r="B11" s="219"/>
      <c r="C11" s="220" t="s">
        <v>166</v>
      </c>
      <c r="D11" s="220"/>
      <c r="E11" s="221"/>
    </row>
    <row r="12" customFormat="false" ht="14.25" hidden="false" customHeight="true" outlineLevel="0" collapsed="false">
      <c r="B12" s="218" t="s">
        <v>167</v>
      </c>
      <c r="C12" s="218"/>
      <c r="D12" s="218"/>
      <c r="E12" s="218"/>
      <c r="F12" s="210"/>
      <c r="G12" s="210"/>
    </row>
    <row r="13" customFormat="false" ht="24.75" hidden="false" customHeight="true" outlineLevel="0" collapsed="false">
      <c r="B13" s="219"/>
      <c r="C13" s="220" t="s">
        <v>168</v>
      </c>
      <c r="D13" s="220"/>
      <c r="E13" s="221"/>
    </row>
    <row r="14" customFormat="false" ht="13.8" hidden="false" customHeight="false" outlineLevel="0" collapsed="false">
      <c r="B14" s="222" t="s">
        <v>169</v>
      </c>
      <c r="C14" s="222"/>
      <c r="D14" s="222"/>
      <c r="E14" s="222"/>
    </row>
    <row r="15" s="208" customFormat="true" ht="21" hidden="false" customHeight="true" outlineLevel="0" collapsed="false">
      <c r="B15" s="223"/>
      <c r="C15" s="224" t="s">
        <v>170</v>
      </c>
      <c r="D15" s="225" t="s">
        <v>171</v>
      </c>
      <c r="E15" s="226"/>
    </row>
    <row r="16" s="208" customFormat="true" ht="21" hidden="false" customHeight="true" outlineLevel="0" collapsed="false">
      <c r="B16" s="219"/>
      <c r="C16" s="227" t="str">
        <f aca="false">+CEDULA!C23</f>
        <v>${auditor_a}</v>
      </c>
      <c r="D16" s="228" t="s">
        <v>100</v>
      </c>
      <c r="E16" s="229"/>
    </row>
  </sheetData>
  <mergeCells count="15">
    <mergeCell ref="B1:C1"/>
    <mergeCell ref="D1:E1"/>
    <mergeCell ref="B2:C2"/>
    <mergeCell ref="B3:C3"/>
    <mergeCell ref="B4:E4"/>
    <mergeCell ref="B5:E5"/>
    <mergeCell ref="B6:E6"/>
    <mergeCell ref="C7:D7"/>
    <mergeCell ref="B8:E8"/>
    <mergeCell ref="C9:D9"/>
    <mergeCell ref="B10:E10"/>
    <mergeCell ref="C11:D11"/>
    <mergeCell ref="B12:E12"/>
    <mergeCell ref="C13:D13"/>
    <mergeCell ref="B14:E14"/>
  </mergeCells>
  <printOptions headings="false" gridLines="false" gridLinesSet="true" horizontalCentered="true" verticalCentered="false"/>
  <pageMargins left="0.7875" right="0.7875" top="0.7875" bottom="0.7875" header="0.511811023622047" footer="0.511811023622047"/>
  <pageSetup paperSize="1" scale="95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LibreOffice/24.2.5.2$Linux_X86_64 LibreOffice_project/420$Build-2</Application>
  <AppVersion>15.0000</AppVersion>
  <Company>Hewlett-Packard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2024-05-07T23:04:54Z</dcterms:created>
  <dc:creator>Silvia Vargas Ortiz</dc:creator>
  <dc:description/>
  <dc:language>es-VE</dc:language>
  <cp:lastModifiedBy/>
  <dcterms:modified xsi:type="dcterms:W3CDTF">2024-08-23T14:27:16Z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